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4.xml" ContentType="application/vnd.openxmlformats-officedocument.spreadsheetml.table+xml"/>
  <Override PartName="/xl/queryTables/queryTable4.xml" ContentType="application/vnd.openxmlformats-officedocument.spreadsheetml.queryTable+xml"/>
  <Override PartName="/xl/tables/table5.xml" ContentType="application/vnd.openxmlformats-officedocument.spreadsheetml.table+xml"/>
  <Override PartName="/xl/queryTables/queryTable5.xml" ContentType="application/vnd.openxmlformats-officedocument.spreadsheetml.queryTable+xml"/>
  <Override PartName="/xl/tables/table6.xml" ContentType="application/vnd.openxmlformats-officedocument.spreadsheetml.table+xml"/>
  <Override PartName="/xl/queryTables/queryTable6.xml" ContentType="application/vnd.openxmlformats-officedocument.spreadsheetml.queryTab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slicers/slicer2.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slicers/slicer3.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5.xml" ContentType="application/vnd.openxmlformats-officedocument.spreadsheetml.pivotTable+xml"/>
  <Override PartName="/xl/drawings/drawing5.xml" ContentType="application/vnd.openxmlformats-officedocument.drawing+xml"/>
  <Override PartName="/xl/slicers/slicer4.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6.xml" ContentType="application/vnd.openxmlformats-officedocument.spreadsheetml.pivotTable+xml"/>
  <Override PartName="/xl/drawings/drawing6.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7.xml" ContentType="application/vnd.openxmlformats-officedocument.drawing+xml"/>
  <Override PartName="/xl/slicers/slicer5.xml" ContentType="application/vnd.ms-excel.slicer+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hidePivotFieldList="1"/>
  <mc:AlternateContent xmlns:mc="http://schemas.openxmlformats.org/markup-compatibility/2006">
    <mc:Choice Requires="x15">
      <x15ac:absPath xmlns:x15ac="http://schemas.microsoft.com/office/spreadsheetml/2010/11/ac" url="https://d.docs.live.net/51dc9a68cc0015d2/Desktop/ecommerce-sales-analysis/dashboard/"/>
    </mc:Choice>
  </mc:AlternateContent>
  <xr:revisionPtr revIDLastSave="911" documentId="13_ncr:1_{A6188133-36C7-448F-81E9-FA1A37D88FCD}" xr6:coauthVersionLast="47" xr6:coauthVersionMax="47" xr10:uidLastSave="{065DC6F4-44CB-4580-A60F-40357BD9B74A}"/>
  <bookViews>
    <workbookView minimized="1" xWindow="348" yWindow="744" windowWidth="14124" windowHeight="8928" firstSheet="9" activeTab="12" xr2:uid="{00000000-000D-0000-FFFF-FFFF00000000}"/>
  </bookViews>
  <sheets>
    <sheet name="monthly_revenue" sheetId="2" r:id="rId1"/>
    <sheet name="orders_by_status" sheetId="4" r:id="rId2"/>
    <sheet name="payment_distribution" sheetId="6" r:id="rId3"/>
    <sheet name="P_monthly_revenue" sheetId="3" r:id="rId4"/>
    <sheet name="revenue_by_category" sheetId="26" r:id="rId5"/>
    <sheet name="revenue_by_state" sheetId="11" r:id="rId6"/>
    <sheet name="top_cities_customers" sheetId="13" r:id="rId7"/>
    <sheet name="P_order_by_status" sheetId="20" r:id="rId8"/>
    <sheet name="P_payment_distribution" sheetId="7" r:id="rId9"/>
    <sheet name="P_revenue_by_category" sheetId="27" r:id="rId10"/>
    <sheet name="P_revenue_by_state" sheetId="12" r:id="rId11"/>
    <sheet name="P_top_cities_customer" sheetId="14" r:id="rId12"/>
    <sheet name="dashboard" sheetId="8" r:id="rId13"/>
  </sheets>
  <definedNames>
    <definedName name="ExternalData_1" localSheetId="0" hidden="1">monthly_revenue!$A$1:$B$25</definedName>
    <definedName name="ExternalData_1" localSheetId="1" hidden="1">orders_by_status!$A$1:$B$9</definedName>
    <definedName name="ExternalData_1" localSheetId="2" hidden="1">payment_distribution!$A$1:$B$6</definedName>
    <definedName name="ExternalData_1" localSheetId="4" hidden="1">revenue_by_category!$A$1:$B$6</definedName>
    <definedName name="ExternalData_1" localSheetId="5" hidden="1">'revenue_by_state'!$A$1:$B$28</definedName>
    <definedName name="ExternalData_1" localSheetId="6" hidden="1">top_cities_customers!$A$1:$B$11</definedName>
    <definedName name="Slicer_customer_state">#N/A</definedName>
    <definedName name="Slicer_month">#N/A</definedName>
    <definedName name="Slicer_payment_type">#N/A</definedName>
    <definedName name="Slicer_product_category_name">#N/A</definedName>
  </definedNames>
  <calcPr calcId="191029"/>
  <pivotCaches>
    <pivotCache cacheId="0" r:id="rId14"/>
    <pivotCache cacheId="1" r:id="rId15"/>
    <pivotCache cacheId="2" r:id="rId16"/>
    <pivotCache cacheId="3" r:id="rId17"/>
    <pivotCache cacheId="4" r:id="rId18"/>
    <pivotCache cacheId="5" r:id="rId19"/>
  </pivotCaches>
  <extLst>
    <ext xmlns:x14="http://schemas.microsoft.com/office/spreadsheetml/2009/9/main" uri="{BBE1A952-AA13-448e-AADC-164F8A28A991}">
      <x14:slicerCaches>
        <x14:slicerCache r:id="rId20"/>
        <x14:slicerCache r:id="rId21"/>
        <x14:slicerCache r:id="rId22"/>
        <x14:slicerCache r:id="rId2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10" i="20" l="1"/>
  <c r="B31" i="1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BEC610C-E45F-411E-810A-C5F11C7B094D}" keepAlive="1" name="Query - monthly_revenue" description="Connection to the 'monthly_revenue' query in the workbook." type="5" refreshedVersion="8" background="1" saveData="1">
    <dbPr connection="Provider=Microsoft.Mashup.OleDb.1;Data Source=$Workbook$;Location=monthly_revenue;Extended Properties=&quot;&quot;" command="SELECT * FROM [monthly_revenue]"/>
  </connection>
  <connection id="2" xr16:uid="{CAFA2A2E-2256-40DE-BDB9-55E2B26DBBE9}" keepAlive="1" name="Query - orders_by_status" description="Connection to the 'orders_by_status' query in the workbook." type="5" refreshedVersion="8" background="1" saveData="1">
    <dbPr connection="Provider=Microsoft.Mashup.OleDb.1;Data Source=$Workbook$;Location=orders_by_status;Extended Properties=&quot;&quot;" command="SELECT * FROM [orders_by_status]"/>
  </connection>
  <connection id="3" xr16:uid="{B752DC2F-7ED2-43AF-AB98-408BDA3E3FEB}" keepAlive="1" name="Query - payment_distribution" description="Connection to the 'payment_distribution' query in the workbook." type="5" refreshedVersion="8" background="1" saveData="1">
    <dbPr connection="Provider=Microsoft.Mashup.OleDb.1;Data Source=$Workbook$;Location=payment_distribution;Extended Properties=&quot;&quot;" command="SELECT * FROM [payment_distribution]"/>
  </connection>
  <connection id="4" xr16:uid="{C83F3A2D-98DB-4AF3-9257-94321F250A66}" keepAlive="1" name="Query - revenue_by_category" description="Connection to the 'revenue_by_category' query in the workbook." type="5" refreshedVersion="8" background="1" saveData="1">
    <dbPr connection="Provider=Microsoft.Mashup.OleDb.1;Data Source=$Workbook$;Location=revenue_by_category;Extended Properties=&quot;&quot;" command="SELECT * FROM [revenue_by_category]"/>
  </connection>
  <connection id="5" xr16:uid="{E075C14B-DB44-44C7-873D-FBEF1858C3D7}" keepAlive="1" name="Query - revenue_by_category (2)" description="Connection to the 'revenue_by_category (2)' query in the workbook." type="5" refreshedVersion="8" background="1" saveData="1">
    <dbPr connection="Provider=Microsoft.Mashup.OleDb.1;Data Source=$Workbook$;Location=&quot;revenue_by_category (2)&quot;;Extended Properties=&quot;&quot;" command="SELECT * FROM [revenue_by_category (2)]"/>
  </connection>
  <connection id="6" xr16:uid="{86A7DCD5-6895-465E-AD56-12CAC8DBCC91}" keepAlive="1" name="Query - revenue_by_category (3)" description="Connection to the 'revenue_by_category (3)' query in the workbook." type="5" refreshedVersion="8" background="1" saveData="1">
    <dbPr connection="Provider=Microsoft.Mashup.OleDb.1;Data Source=$Workbook$;Location=&quot;revenue_by_category (3)&quot;;Extended Properties=&quot;&quot;" command="SELECT * FROM [revenue_by_category (3)]"/>
  </connection>
  <connection id="7" xr16:uid="{02DAFD84-6B72-4E4E-AD84-8105FA5FBA7E}" keepAlive="1" name="Query - revenue_by_state" description="Connection to the 'revenue_by_state' query in the workbook." type="5" refreshedVersion="8" background="1" saveData="1">
    <dbPr connection="Provider=Microsoft.Mashup.OleDb.1;Data Source=$Workbook$;Location=revenue_by_state;Extended Properties=&quot;&quot;" command="SELECT * FROM [revenue_by_state]"/>
  </connection>
  <connection id="8" xr16:uid="{C5E890B2-E6A1-48E0-A43E-A1286D0FE24C}" keepAlive="1" name="Query - top_cities_customers" description="Connection to the 'top_cities_customers' query in the workbook." type="5" refreshedVersion="8" background="1" saveData="1">
    <dbPr connection="Provider=Microsoft.Mashup.OleDb.1;Data Source=$Workbook$;Location=top_cities_customers;Extended Properties=&quot;&quot;" command="SELECT * FROM [top_cities_customers]"/>
  </connection>
  <connection id="9" xr16:uid="{0D44B570-5B34-44F8-8162-E8F4799A6CCD}" keepAlive="1" name="Query - top_customers" description="Connection to the 'top_customers' query in the workbook." type="5" refreshedVersion="8" background="1" saveData="1">
    <dbPr connection="Provider=Microsoft.Mashup.OleDb.1;Data Source=$Workbook$;Location=top_customers;Extended Properties=&quot;&quot;" command="SELECT * FROM [top_customers]"/>
  </connection>
  <connection id="10" xr16:uid="{2013E86D-5377-4556-9A42-9B43E7EA4AB7}" keepAlive="1" name="Query - top_products" description="Connection to the 'top_products' query in the workbook." type="5" refreshedVersion="8" background="1" saveData="1">
    <dbPr connection="Provider=Microsoft.Mashup.OleDb.1;Data Source=$Workbook$;Location=top_products;Extended Properties=&quot;&quot;" command="SELECT * FROM [top_products]"/>
  </connection>
</connections>
</file>

<file path=xl/sharedStrings.xml><?xml version="1.0" encoding="utf-8"?>
<sst xmlns="http://schemas.openxmlformats.org/spreadsheetml/2006/main" count="138" uniqueCount="77">
  <si>
    <t>month</t>
  </si>
  <si>
    <t>monthly_revenue</t>
  </si>
  <si>
    <t>Row Labels</t>
  </si>
  <si>
    <t>order_status</t>
  </si>
  <si>
    <t>total_orders</t>
  </si>
  <si>
    <t>delivered</t>
  </si>
  <si>
    <t>shipped</t>
  </si>
  <si>
    <t>canceled</t>
  </si>
  <si>
    <t>unavailable</t>
  </si>
  <si>
    <t>invoiced</t>
  </si>
  <si>
    <t>processing</t>
  </si>
  <si>
    <t>created</t>
  </si>
  <si>
    <t>approved</t>
  </si>
  <si>
    <t>Sum of total_orders</t>
  </si>
  <si>
    <t>payment_type</t>
  </si>
  <si>
    <t>total_payments</t>
  </si>
  <si>
    <t>credit_card</t>
  </si>
  <si>
    <t>boleto</t>
  </si>
  <si>
    <t>voucher</t>
  </si>
  <si>
    <t>debit_card</t>
  </si>
  <si>
    <t>not_defined</t>
  </si>
  <si>
    <t>Sum of total_payments</t>
  </si>
  <si>
    <t>product_category_name</t>
  </si>
  <si>
    <t>total_revenue</t>
  </si>
  <si>
    <t>beleza_saude</t>
  </si>
  <si>
    <t>cama_mesa_banho</t>
  </si>
  <si>
    <t>esporte_lazer</t>
  </si>
  <si>
    <t>moveis_decoracao</t>
  </si>
  <si>
    <t>utilidades_domesticas</t>
  </si>
  <si>
    <t>Sum of total_revenue</t>
  </si>
  <si>
    <t>customer_state</t>
  </si>
  <si>
    <t>SP</t>
  </si>
  <si>
    <t>RJ</t>
  </si>
  <si>
    <t>MG</t>
  </si>
  <si>
    <t>RS</t>
  </si>
  <si>
    <t>PR</t>
  </si>
  <si>
    <t>SC</t>
  </si>
  <si>
    <t>BA</t>
  </si>
  <si>
    <t>DF</t>
  </si>
  <si>
    <t>GO</t>
  </si>
  <si>
    <t>ES</t>
  </si>
  <si>
    <t>PE</t>
  </si>
  <si>
    <t>CE</t>
  </si>
  <si>
    <t>PA</t>
  </si>
  <si>
    <t>MT</t>
  </si>
  <si>
    <t>MA</t>
  </si>
  <si>
    <t>MS</t>
  </si>
  <si>
    <t>PB</t>
  </si>
  <si>
    <t>PI</t>
  </si>
  <si>
    <t>RN</t>
  </si>
  <si>
    <t>AL</t>
  </si>
  <si>
    <t>SE</t>
  </si>
  <si>
    <t>TO</t>
  </si>
  <si>
    <t>RO</t>
  </si>
  <si>
    <t>AM</t>
  </si>
  <si>
    <t>AC</t>
  </si>
  <si>
    <t>AP</t>
  </si>
  <si>
    <t>RR</t>
  </si>
  <si>
    <t>customer_city</t>
  </si>
  <si>
    <t>total_customers</t>
  </si>
  <si>
    <t>sao paulo</t>
  </si>
  <si>
    <t>rio de janeiro</t>
  </si>
  <si>
    <t>belo horizonte</t>
  </si>
  <si>
    <t>brasilia</t>
  </si>
  <si>
    <t>curitiba</t>
  </si>
  <si>
    <t>campinas</t>
  </si>
  <si>
    <t>porto alegre</t>
  </si>
  <si>
    <t>salvador</t>
  </si>
  <si>
    <t>guarulhos</t>
  </si>
  <si>
    <t>sao bernardo do campo</t>
  </si>
  <si>
    <t>Sum of total_customers</t>
  </si>
  <si>
    <t>E-Commerce Sales Dashboard</t>
  </si>
  <si>
    <t>.</t>
  </si>
  <si>
    <t>Monthly Revenue Trend</t>
  </si>
  <si>
    <t>total_products</t>
  </si>
  <si>
    <t>Sum of total_products</t>
  </si>
  <si>
    <t>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</si>
</sst>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14009]dd/mm/yyyy;@"/>
    <numFmt numFmtId="165" formatCode="&quot;₹&quot;\ #,##0,,&quot;M&quot;"/>
    <numFmt numFmtId="166" formatCode="0,&quot;k&quot;"/>
  </numFmts>
  <fonts count="3" x14ac:knownFonts="1">
    <font>
      <sz val="11"/>
      <color theme="1"/>
      <name val="Calibri"/>
      <family val="2"/>
      <scheme val="minor"/>
    </font>
    <font>
      <b/>
      <sz val="18"/>
      <color theme="1"/>
      <name val="Calibri"/>
      <family val="2"/>
      <scheme val="minor"/>
    </font>
    <font>
      <b/>
      <sz val="22"/>
      <color theme="1"/>
      <name val="Calibri"/>
      <family val="2"/>
      <scheme val="minor"/>
    </font>
  </fonts>
  <fills count="5">
    <fill>
      <patternFill patternType="none"/>
    </fill>
    <fill>
      <patternFill patternType="gray125"/>
    </fill>
    <fill>
      <patternFill patternType="solid">
        <fgColor theme="3" tint="0.39997558519241921"/>
        <bgColor indexed="64"/>
      </patternFill>
    </fill>
    <fill>
      <patternFill patternType="solid">
        <fgColor rgb="FF92D050"/>
        <bgColor indexed="64"/>
      </patternFill>
    </fill>
    <fill>
      <patternFill patternType="solid">
        <fgColor theme="0" tint="-0.499984740745262"/>
        <bgColor indexed="64"/>
      </patternFill>
    </fill>
  </fills>
  <borders count="1">
    <border>
      <left/>
      <right/>
      <top/>
      <bottom/>
      <diagonal/>
    </border>
  </borders>
  <cellStyleXfs count="1">
    <xf numFmtId="0" fontId="0" fillId="0" borderId="0"/>
  </cellStyleXfs>
  <cellXfs count="14">
    <xf numFmtId="0" fontId="0" fillId="0" borderId="0" xfId="0"/>
    <xf numFmtId="0" fontId="0" fillId="0" borderId="0" xfId="0" pivotButton="1"/>
    <xf numFmtId="0" fontId="0" fillId="0" borderId="0" xfId="0" applyAlignment="1">
      <alignment horizontal="left"/>
    </xf>
    <xf numFmtId="164" fontId="0" fillId="0" borderId="0" xfId="0" pivotButton="1" applyNumberFormat="1"/>
    <xf numFmtId="164" fontId="0" fillId="0" borderId="0" xfId="0" applyNumberFormat="1" applyAlignment="1">
      <alignment horizontal="left"/>
    </xf>
    <xf numFmtId="164" fontId="0" fillId="0" borderId="0" xfId="0" applyNumberFormat="1"/>
    <xf numFmtId="0" fontId="0" fillId="3" borderId="0" xfId="0" applyFill="1" applyAlignment="1">
      <alignment horizontal="left"/>
    </xf>
    <xf numFmtId="0" fontId="0" fillId="3" borderId="0" xfId="0" applyFill="1"/>
    <xf numFmtId="0" fontId="0" fillId="4" borderId="0" xfId="0" applyFill="1"/>
    <xf numFmtId="165" fontId="0" fillId="3" borderId="0" xfId="0" applyNumberFormat="1" applyFill="1"/>
    <xf numFmtId="166" fontId="0" fillId="3" borderId="0" xfId="0" applyNumberFormat="1" applyFill="1"/>
    <xf numFmtId="0" fontId="2" fillId="2" borderId="0" xfId="0" applyFont="1" applyFill="1" applyAlignment="1">
      <alignment horizontal="center" vertical="center"/>
    </xf>
    <xf numFmtId="0" fontId="1" fillId="2" borderId="0" xfId="0" applyFont="1" applyFill="1" applyAlignment="1">
      <alignment horizontal="center" vertical="center"/>
    </xf>
    <xf numFmtId="0" fontId="0" fillId="0" borderId="0" xfId="0" applyNumberFormat="1"/>
  </cellXfs>
  <cellStyles count="1">
    <cellStyle name="Normal" xfId="0" builtinId="0"/>
  </cellStyles>
  <dxfs count="15">
    <dxf>
      <numFmt numFmtId="164" formatCode="[$-14009]dd/mm/yyyy;@"/>
    </dxf>
    <dxf>
      <numFmt numFmtId="164" formatCode="[$-14009]dd/mm/yyyy;@"/>
    </dxf>
    <dxf>
      <numFmt numFmtId="164" formatCode="[$-14009]dd/mm/yyyy;@"/>
    </dxf>
    <dxf>
      <numFmt numFmtId="164" formatCode="[$-14009]dd/mm/yyyy;@"/>
    </dxf>
    <dxf>
      <numFmt numFmtId="164" formatCode="[$-14009]dd/mm/yyyy;@"/>
    </dxf>
    <dxf>
      <numFmt numFmtId="164" formatCode="[$-14009]dd/mm/yyyy;@"/>
    </dxf>
    <dxf>
      <numFmt numFmtId="0" formatCode="General"/>
    </dxf>
    <dxf>
      <numFmt numFmtId="0" formatCode="General"/>
    </dxf>
    <dxf>
      <numFmt numFmtId="0" formatCode="General"/>
    </dxf>
    <dxf>
      <numFmt numFmtId="0" formatCode="General"/>
    </dxf>
    <dxf>
      <numFmt numFmtId="164" formatCode="[$-14009]dd/mm/yyyy;@"/>
    </dxf>
    <dxf>
      <numFmt numFmtId="164" formatCode="[$-14009]dd/mm/yyyy;@"/>
    </dxf>
    <dxf>
      <numFmt numFmtId="0" formatCode="General"/>
    </dxf>
    <dxf>
      <numFmt numFmtId="0" formatCode="General"/>
    </dxf>
    <dxf>
      <numFmt numFmtId="164" formatCode="[$-14009]dd/mm/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5.xml"/><Relationship Id="rId26" Type="http://schemas.openxmlformats.org/officeDocument/2006/relationships/styles" Target="styles.xml"/><Relationship Id="rId3" Type="http://schemas.openxmlformats.org/officeDocument/2006/relationships/worksheet" Target="worksheets/sheet3.xml"/><Relationship Id="rId21" Type="http://schemas.microsoft.com/office/2007/relationships/slicerCache" Target="slicerCaches/slicerCache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4.xml"/><Relationship Id="rId25"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pivotCacheDefinition" Target="pivotCache/pivotCacheDefinition3.xml"/><Relationship Id="rId20" Type="http://schemas.microsoft.com/office/2007/relationships/slicerCache" Target="slicerCaches/slicerCache1.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pivotCacheDefinition" Target="pivotCache/pivotCacheDefinition2.xml"/><Relationship Id="rId23" Type="http://schemas.microsoft.com/office/2007/relationships/slicerCache" Target="slicerCaches/slicerCache4.xml"/><Relationship Id="rId28"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pivotCacheDefinition" Target="pivotCache/pivotCacheDefinition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1.xml"/><Relationship Id="rId22" Type="http://schemas.microsoft.com/office/2007/relationships/slicerCache" Target="slicerCaches/slicerCache3.xml"/><Relationship Id="rId27" Type="http://schemas.openxmlformats.org/officeDocument/2006/relationships/sharedStrings" Target="sharedStrings.xml"/><Relationship Id="rId30"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[ecommerce_dashboard.xlsx]P_monthly_revenue!PivotTable4</c:name>
    <c:fmtId val="3"/>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P_monthly_revenue!$B$2</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P_monthly_revenue!$A$3:$A$26</c:f>
              <c:strCache>
                <c:ptCount val="24"/>
                <c:pt idx="0">
                  <c:v>01-09-2016 00:00</c:v>
                </c:pt>
                <c:pt idx="1">
                  <c:v>01-10-2016 00:00</c:v>
                </c:pt>
                <c:pt idx="2">
                  <c:v>01-12-2016 00:00</c:v>
                </c:pt>
                <c:pt idx="3">
                  <c:v>01-01-2017 00:00</c:v>
                </c:pt>
                <c:pt idx="4">
                  <c:v>01-02-2017 00:00</c:v>
                </c:pt>
                <c:pt idx="5">
                  <c:v>01-03-2017 00:00</c:v>
                </c:pt>
                <c:pt idx="6">
                  <c:v>01-04-2017 00:00</c:v>
                </c:pt>
                <c:pt idx="7">
                  <c:v>01-05-2017 00:00</c:v>
                </c:pt>
                <c:pt idx="8">
                  <c:v>01-06-2017 00:00</c:v>
                </c:pt>
                <c:pt idx="9">
                  <c:v>01-07-2017 00:00</c:v>
                </c:pt>
                <c:pt idx="10">
                  <c:v>01-08-2017 00:00</c:v>
                </c:pt>
                <c:pt idx="11">
                  <c:v>01-09-2017 00:00</c:v>
                </c:pt>
                <c:pt idx="12">
                  <c:v>01-10-2017 00:00</c:v>
                </c:pt>
                <c:pt idx="13">
                  <c:v>01-11-2017 00:00</c:v>
                </c:pt>
                <c:pt idx="14">
                  <c:v>01-12-2017 00:00</c:v>
                </c:pt>
                <c:pt idx="15">
                  <c:v>01-01-2018 00:00</c:v>
                </c:pt>
                <c:pt idx="16">
                  <c:v>01-02-2018 00:00</c:v>
                </c:pt>
                <c:pt idx="17">
                  <c:v>01-03-2018 00:00</c:v>
                </c:pt>
                <c:pt idx="18">
                  <c:v>01-04-2018 00:00</c:v>
                </c:pt>
                <c:pt idx="19">
                  <c:v>01-05-2018 00:00</c:v>
                </c:pt>
                <c:pt idx="20">
                  <c:v>01-06-2018 00:00</c:v>
                </c:pt>
                <c:pt idx="21">
                  <c:v>01-07-2018 00:00</c:v>
                </c:pt>
                <c:pt idx="22">
                  <c:v>01-08-2018 00:00</c:v>
                </c:pt>
                <c:pt idx="23">
                  <c:v>01-09-2018 00:00</c:v>
                </c:pt>
              </c:strCache>
            </c:strRef>
          </c:cat>
          <c:val>
            <c:numRef>
              <c:f>P_monthly_revenue!$B$3:$B$26</c:f>
              <c:numCache>
                <c:formatCode>General</c:formatCode>
                <c:ptCount val="24"/>
                <c:pt idx="0">
                  <c:v>267.36</c:v>
                </c:pt>
                <c:pt idx="1">
                  <c:v>49507.66</c:v>
                </c:pt>
                <c:pt idx="2">
                  <c:v>10.9</c:v>
                </c:pt>
                <c:pt idx="3">
                  <c:v>120312.87</c:v>
                </c:pt>
                <c:pt idx="4">
                  <c:v>247303.02</c:v>
                </c:pt>
                <c:pt idx="5">
                  <c:v>374344.3</c:v>
                </c:pt>
                <c:pt idx="6">
                  <c:v>359927.23</c:v>
                </c:pt>
                <c:pt idx="7">
                  <c:v>506071.14</c:v>
                </c:pt>
                <c:pt idx="8">
                  <c:v>433038.6</c:v>
                </c:pt>
                <c:pt idx="9">
                  <c:v>498031.48</c:v>
                </c:pt>
                <c:pt idx="10">
                  <c:v>573971.68000000005</c:v>
                </c:pt>
                <c:pt idx="11">
                  <c:v>624401.68999999994</c:v>
                </c:pt>
                <c:pt idx="12">
                  <c:v>664219.43000000005</c:v>
                </c:pt>
                <c:pt idx="13">
                  <c:v>1010271.37</c:v>
                </c:pt>
                <c:pt idx="14">
                  <c:v>743914.17</c:v>
                </c:pt>
                <c:pt idx="15">
                  <c:v>950030.36</c:v>
                </c:pt>
                <c:pt idx="16">
                  <c:v>844178.71</c:v>
                </c:pt>
                <c:pt idx="17">
                  <c:v>983213.44</c:v>
                </c:pt>
                <c:pt idx="18">
                  <c:v>996647.75</c:v>
                </c:pt>
                <c:pt idx="19">
                  <c:v>996517.68</c:v>
                </c:pt>
                <c:pt idx="20">
                  <c:v>865124.31</c:v>
                </c:pt>
                <c:pt idx="21">
                  <c:v>895507.22</c:v>
                </c:pt>
                <c:pt idx="22">
                  <c:v>854686.33</c:v>
                </c:pt>
                <c:pt idx="23">
                  <c:v>145</c:v>
                </c:pt>
              </c:numCache>
            </c:numRef>
          </c:val>
          <c:smooth val="0"/>
          <c:extLst>
            <c:ext xmlns:c16="http://schemas.microsoft.com/office/drawing/2014/chart" uri="{C3380CC4-5D6E-409C-BE32-E72D297353CC}">
              <c16:uniqueId val="{00000000-95F1-4FDC-BC7B-02C7981B0E65}"/>
            </c:ext>
          </c:extLst>
        </c:ser>
        <c:dLbls>
          <c:showLegendKey val="0"/>
          <c:showVal val="0"/>
          <c:showCatName val="0"/>
          <c:showSerName val="0"/>
          <c:showPercent val="0"/>
          <c:showBubbleSize val="0"/>
        </c:dLbls>
        <c:marker val="1"/>
        <c:smooth val="0"/>
        <c:axId val="866263680"/>
        <c:axId val="866269920"/>
      </c:lineChart>
      <c:catAx>
        <c:axId val="8662636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66269920"/>
        <c:crosses val="autoZero"/>
        <c:auto val="1"/>
        <c:lblAlgn val="ctr"/>
        <c:lblOffset val="100"/>
        <c:noMultiLvlLbl val="0"/>
      </c:catAx>
      <c:valAx>
        <c:axId val="86626992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6626368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[ecommerce_dashboard.xlsx]P_order_by_status!PivotTable14</c:name>
    <c:fmtId val="4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P_order_by_status!$B$1</c:f>
              <c:strCache>
                <c:ptCount val="1"/>
                <c:pt idx="0">
                  <c:v>Total</c:v>
                </c:pt>
              </c:strCache>
            </c:strRef>
          </c:tx>
          <c:spPr>
            <a:solidFill>
              <a:schemeClr val="accent1"/>
            </a:solidFill>
            <a:ln>
              <a:noFill/>
            </a:ln>
            <a:effectLst/>
          </c:spPr>
          <c:invertIfNegative val="0"/>
          <c:cat>
            <c:strRef>
              <c:f>P_order_by_status!$A$2:$A$9</c:f>
              <c:strCache>
                <c:ptCount val="8"/>
                <c:pt idx="0">
                  <c:v>approved</c:v>
                </c:pt>
                <c:pt idx="1">
                  <c:v>canceled</c:v>
                </c:pt>
                <c:pt idx="2">
                  <c:v>created</c:v>
                </c:pt>
                <c:pt idx="3">
                  <c:v>delivered</c:v>
                </c:pt>
                <c:pt idx="4">
                  <c:v>invoiced</c:v>
                </c:pt>
                <c:pt idx="5">
                  <c:v>processing</c:v>
                </c:pt>
                <c:pt idx="6">
                  <c:v>shipped</c:v>
                </c:pt>
                <c:pt idx="7">
                  <c:v>unavailable</c:v>
                </c:pt>
              </c:strCache>
            </c:strRef>
          </c:cat>
          <c:val>
            <c:numRef>
              <c:f>P_order_by_status!$B$2:$B$9</c:f>
              <c:numCache>
                <c:formatCode>General</c:formatCode>
                <c:ptCount val="8"/>
                <c:pt idx="0">
                  <c:v>2</c:v>
                </c:pt>
                <c:pt idx="1">
                  <c:v>625</c:v>
                </c:pt>
                <c:pt idx="2">
                  <c:v>5</c:v>
                </c:pt>
                <c:pt idx="3">
                  <c:v>96478</c:v>
                </c:pt>
                <c:pt idx="4">
                  <c:v>314</c:v>
                </c:pt>
                <c:pt idx="5">
                  <c:v>301</c:v>
                </c:pt>
                <c:pt idx="6">
                  <c:v>1107</c:v>
                </c:pt>
                <c:pt idx="7">
                  <c:v>609</c:v>
                </c:pt>
              </c:numCache>
            </c:numRef>
          </c:val>
          <c:extLst>
            <c:ext xmlns:c16="http://schemas.microsoft.com/office/drawing/2014/chart" uri="{C3380CC4-5D6E-409C-BE32-E72D297353CC}">
              <c16:uniqueId val="{00000000-4A34-43DB-B09F-E52F10FA858E}"/>
            </c:ext>
          </c:extLst>
        </c:ser>
        <c:dLbls>
          <c:showLegendKey val="0"/>
          <c:showVal val="0"/>
          <c:showCatName val="0"/>
          <c:showSerName val="0"/>
          <c:showPercent val="0"/>
          <c:showBubbleSize val="0"/>
        </c:dLbls>
        <c:gapWidth val="182"/>
        <c:axId val="154171535"/>
        <c:axId val="154158575"/>
      </c:barChart>
      <c:catAx>
        <c:axId val="15417153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158575"/>
        <c:crosses val="autoZero"/>
        <c:auto val="1"/>
        <c:lblAlgn val="ctr"/>
        <c:lblOffset val="100"/>
        <c:noMultiLvlLbl val="0"/>
      </c:catAx>
      <c:valAx>
        <c:axId val="15415857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17153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[ecommerce_dashboard.xlsx]P_payment_distribution!PivotTable2</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s>
    <c:plotArea>
      <c:layout/>
      <c:pieChart>
        <c:varyColors val="1"/>
        <c:ser>
          <c:idx val="0"/>
          <c:order val="0"/>
          <c:tx>
            <c:strRef>
              <c:f>P_payment_distribution!$B$1</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EC2-4C5A-8CFA-719F6937C440}"/>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CEC2-4C5A-8CFA-719F6937C440}"/>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CEC2-4C5A-8CFA-719F6937C440}"/>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CEC2-4C5A-8CFA-719F6937C440}"/>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CEC2-4C5A-8CFA-719F6937C440}"/>
              </c:ext>
            </c:extLst>
          </c:dPt>
          <c:cat>
            <c:strRef>
              <c:f>P_payment_distribution!$A$2:$A$6</c:f>
              <c:strCache>
                <c:ptCount val="5"/>
                <c:pt idx="0">
                  <c:v>boleto</c:v>
                </c:pt>
                <c:pt idx="1">
                  <c:v>credit_card</c:v>
                </c:pt>
                <c:pt idx="2">
                  <c:v>debit_card</c:v>
                </c:pt>
                <c:pt idx="3">
                  <c:v>not_defined</c:v>
                </c:pt>
                <c:pt idx="4">
                  <c:v>voucher</c:v>
                </c:pt>
              </c:strCache>
            </c:strRef>
          </c:cat>
          <c:val>
            <c:numRef>
              <c:f>P_payment_distribution!$B$2:$B$6</c:f>
              <c:numCache>
                <c:formatCode>General</c:formatCode>
                <c:ptCount val="5"/>
                <c:pt idx="0">
                  <c:v>19784</c:v>
                </c:pt>
                <c:pt idx="1">
                  <c:v>76795</c:v>
                </c:pt>
                <c:pt idx="2">
                  <c:v>1529</c:v>
                </c:pt>
                <c:pt idx="3">
                  <c:v>3</c:v>
                </c:pt>
                <c:pt idx="4">
                  <c:v>5775</c:v>
                </c:pt>
              </c:numCache>
            </c:numRef>
          </c:val>
          <c:extLst>
            <c:ext xmlns:c16="http://schemas.microsoft.com/office/drawing/2014/chart" uri="{C3380CC4-5D6E-409C-BE32-E72D297353CC}">
              <c16:uniqueId val="{00000000-E283-4ECD-B3FF-2D88CDD435C0}"/>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[ecommerce_dashboard.xlsx]P_revenue_by_category!PivotTable2</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P_revenue_by_category!$B$1</c:f>
              <c:strCache>
                <c:ptCount val="1"/>
                <c:pt idx="0">
                  <c:v>Total</c:v>
                </c:pt>
              </c:strCache>
            </c:strRef>
          </c:tx>
          <c:spPr>
            <a:solidFill>
              <a:schemeClr val="accent1"/>
            </a:solidFill>
            <a:ln>
              <a:noFill/>
            </a:ln>
            <a:effectLst/>
          </c:spPr>
          <c:invertIfNegative val="0"/>
          <c:cat>
            <c:strRef>
              <c:f>P_revenue_by_category!$A$2:$A$6</c:f>
              <c:strCache>
                <c:ptCount val="5"/>
                <c:pt idx="0">
                  <c:v>beleza_saude</c:v>
                </c:pt>
                <c:pt idx="1">
                  <c:v>cama_mesa_banho</c:v>
                </c:pt>
                <c:pt idx="2">
                  <c:v>esporte_lazer</c:v>
                </c:pt>
                <c:pt idx="3">
                  <c:v>moveis_decoracao</c:v>
                </c:pt>
                <c:pt idx="4">
                  <c:v>utilidades_domesticas</c:v>
                </c:pt>
              </c:strCache>
            </c:strRef>
          </c:cat>
          <c:val>
            <c:numRef>
              <c:f>P_revenue_by_category!$B$2:$B$6</c:f>
              <c:numCache>
                <c:formatCode>General</c:formatCode>
                <c:ptCount val="5"/>
                <c:pt idx="0">
                  <c:v>2444</c:v>
                </c:pt>
                <c:pt idx="1">
                  <c:v>3029</c:v>
                </c:pt>
                <c:pt idx="2">
                  <c:v>2867</c:v>
                </c:pt>
                <c:pt idx="3">
                  <c:v>2657</c:v>
                </c:pt>
                <c:pt idx="4">
                  <c:v>2335</c:v>
                </c:pt>
              </c:numCache>
            </c:numRef>
          </c:val>
          <c:extLst>
            <c:ext xmlns:c16="http://schemas.microsoft.com/office/drawing/2014/chart" uri="{C3380CC4-5D6E-409C-BE32-E72D297353CC}">
              <c16:uniqueId val="{00000003-00E4-4920-9B7C-AE873CA71EC2}"/>
            </c:ext>
          </c:extLst>
        </c:ser>
        <c:dLbls>
          <c:showLegendKey val="0"/>
          <c:showVal val="0"/>
          <c:showCatName val="0"/>
          <c:showSerName val="0"/>
          <c:showPercent val="0"/>
          <c:showBubbleSize val="0"/>
        </c:dLbls>
        <c:gapWidth val="182"/>
        <c:axId val="1982325296"/>
        <c:axId val="1982325776"/>
      </c:barChart>
      <c:catAx>
        <c:axId val="198232529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82325776"/>
        <c:crosses val="autoZero"/>
        <c:auto val="1"/>
        <c:lblAlgn val="ctr"/>
        <c:lblOffset val="100"/>
        <c:noMultiLvlLbl val="0"/>
      </c:catAx>
      <c:valAx>
        <c:axId val="19823257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8232529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[ecommerce_dashboard.xlsx]P_revenue_by_state!PivotTable6</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P_revenue_by_state!$B$3</c:f>
              <c:strCache>
                <c:ptCount val="1"/>
                <c:pt idx="0">
                  <c:v>Total</c:v>
                </c:pt>
              </c:strCache>
            </c:strRef>
          </c:tx>
          <c:spPr>
            <a:solidFill>
              <a:schemeClr val="accent1"/>
            </a:solidFill>
            <a:ln>
              <a:noFill/>
            </a:ln>
            <a:effectLst/>
          </c:spPr>
          <c:invertIfNegative val="0"/>
          <c:cat>
            <c:strRef>
              <c:f>P_revenue_by_state!$A$4:$A$30</c:f>
              <c:strCache>
                <c:ptCount val="27"/>
                <c:pt idx="0">
                  <c:v>AC</c:v>
                </c:pt>
                <c:pt idx="1">
                  <c:v>AL</c:v>
                </c:pt>
                <c:pt idx="2">
                  <c:v>AM</c:v>
                </c:pt>
                <c:pt idx="3">
                  <c:v>AP</c:v>
                </c:pt>
                <c:pt idx="4">
                  <c:v>BA</c:v>
                </c:pt>
                <c:pt idx="5">
                  <c:v>CE</c:v>
                </c:pt>
                <c:pt idx="6">
                  <c:v>DF</c:v>
                </c:pt>
                <c:pt idx="7">
                  <c:v>ES</c:v>
                </c:pt>
                <c:pt idx="8">
                  <c:v>GO</c:v>
                </c:pt>
                <c:pt idx="9">
                  <c:v>MA</c:v>
                </c:pt>
                <c:pt idx="10">
                  <c:v>MG</c:v>
                </c:pt>
                <c:pt idx="11">
                  <c:v>MS</c:v>
                </c:pt>
                <c:pt idx="12">
                  <c:v>MT</c:v>
                </c:pt>
                <c:pt idx="13">
                  <c:v>PA</c:v>
                </c:pt>
                <c:pt idx="14">
                  <c:v>PB</c:v>
                </c:pt>
                <c:pt idx="15">
                  <c:v>PE</c:v>
                </c:pt>
                <c:pt idx="16">
                  <c:v>PI</c:v>
                </c:pt>
                <c:pt idx="17">
                  <c:v>PR</c:v>
                </c:pt>
                <c:pt idx="18">
                  <c:v>RJ</c:v>
                </c:pt>
                <c:pt idx="19">
                  <c:v>RN</c:v>
                </c:pt>
                <c:pt idx="20">
                  <c:v>RO</c:v>
                </c:pt>
                <c:pt idx="21">
                  <c:v>RR</c:v>
                </c:pt>
                <c:pt idx="22">
                  <c:v>RS</c:v>
                </c:pt>
                <c:pt idx="23">
                  <c:v>SC</c:v>
                </c:pt>
                <c:pt idx="24">
                  <c:v>SE</c:v>
                </c:pt>
                <c:pt idx="25">
                  <c:v>SP</c:v>
                </c:pt>
                <c:pt idx="26">
                  <c:v>TO</c:v>
                </c:pt>
              </c:strCache>
            </c:strRef>
          </c:cat>
          <c:val>
            <c:numRef>
              <c:f>P_revenue_by_state!$B$4:$B$30</c:f>
              <c:numCache>
                <c:formatCode>General</c:formatCode>
                <c:ptCount val="27"/>
                <c:pt idx="0">
                  <c:v>15982.95</c:v>
                </c:pt>
                <c:pt idx="1">
                  <c:v>80314.81</c:v>
                </c:pt>
                <c:pt idx="2">
                  <c:v>22356.84</c:v>
                </c:pt>
                <c:pt idx="3">
                  <c:v>13474.3</c:v>
                </c:pt>
                <c:pt idx="4">
                  <c:v>511349.99</c:v>
                </c:pt>
                <c:pt idx="5">
                  <c:v>227254.71</c:v>
                </c:pt>
                <c:pt idx="6">
                  <c:v>302603.94</c:v>
                </c:pt>
                <c:pt idx="7">
                  <c:v>275037.31</c:v>
                </c:pt>
                <c:pt idx="8">
                  <c:v>294591.95</c:v>
                </c:pt>
                <c:pt idx="9">
                  <c:v>119648.22</c:v>
                </c:pt>
                <c:pt idx="10">
                  <c:v>1585308.03</c:v>
                </c:pt>
                <c:pt idx="11">
                  <c:v>116812.64</c:v>
                </c:pt>
                <c:pt idx="12">
                  <c:v>156453.53</c:v>
                </c:pt>
                <c:pt idx="13">
                  <c:v>178947.81</c:v>
                </c:pt>
                <c:pt idx="14">
                  <c:v>115268.08</c:v>
                </c:pt>
                <c:pt idx="15">
                  <c:v>262788.03000000003</c:v>
                </c:pt>
                <c:pt idx="16">
                  <c:v>86914.08</c:v>
                </c:pt>
                <c:pt idx="17">
                  <c:v>683083.76</c:v>
                </c:pt>
                <c:pt idx="18">
                  <c:v>1824092.67</c:v>
                </c:pt>
                <c:pt idx="19">
                  <c:v>83034.98</c:v>
                </c:pt>
                <c:pt idx="20">
                  <c:v>46140.639999999999</c:v>
                </c:pt>
                <c:pt idx="21">
                  <c:v>7829.43</c:v>
                </c:pt>
                <c:pt idx="22">
                  <c:v>750304.02</c:v>
                </c:pt>
                <c:pt idx="23">
                  <c:v>520553.34</c:v>
                </c:pt>
                <c:pt idx="24">
                  <c:v>58920.85</c:v>
                </c:pt>
                <c:pt idx="25">
                  <c:v>5202955.05</c:v>
                </c:pt>
                <c:pt idx="26">
                  <c:v>49621.74</c:v>
                </c:pt>
              </c:numCache>
            </c:numRef>
          </c:val>
          <c:extLst>
            <c:ext xmlns:c16="http://schemas.microsoft.com/office/drawing/2014/chart" uri="{C3380CC4-5D6E-409C-BE32-E72D297353CC}">
              <c16:uniqueId val="{00000000-08D5-432C-83A5-5F93AF3D1EE1}"/>
            </c:ext>
          </c:extLst>
        </c:ser>
        <c:dLbls>
          <c:showLegendKey val="0"/>
          <c:showVal val="0"/>
          <c:showCatName val="0"/>
          <c:showSerName val="0"/>
          <c:showPercent val="0"/>
          <c:showBubbleSize val="0"/>
        </c:dLbls>
        <c:gapWidth val="219"/>
        <c:overlap val="-27"/>
        <c:axId val="446111008"/>
        <c:axId val="446124448"/>
      </c:barChart>
      <c:catAx>
        <c:axId val="4461110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46124448"/>
        <c:crosses val="autoZero"/>
        <c:auto val="1"/>
        <c:lblAlgn val="ctr"/>
        <c:lblOffset val="100"/>
        <c:noMultiLvlLbl val="0"/>
      </c:catAx>
      <c:valAx>
        <c:axId val="44612444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4611100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[ecommerce_dashboard.xlsx]P_top_cities_customer!PivotTable8</c:name>
    <c:fmtId val="9"/>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P_top_cities_customer!$B$1</c:f>
              <c:strCache>
                <c:ptCount val="1"/>
                <c:pt idx="0">
                  <c:v>Total</c:v>
                </c:pt>
              </c:strCache>
            </c:strRef>
          </c:tx>
          <c:spPr>
            <a:solidFill>
              <a:schemeClr val="accent1"/>
            </a:solidFill>
            <a:ln>
              <a:noFill/>
            </a:ln>
            <a:effectLst/>
          </c:spPr>
          <c:invertIfNegative val="0"/>
          <c:cat>
            <c:strRef>
              <c:f>P_top_cities_customer!$A$2:$A$11</c:f>
              <c:strCache>
                <c:ptCount val="10"/>
                <c:pt idx="0">
                  <c:v>belo horizonte</c:v>
                </c:pt>
                <c:pt idx="1">
                  <c:v>brasilia</c:v>
                </c:pt>
                <c:pt idx="2">
                  <c:v>campinas</c:v>
                </c:pt>
                <c:pt idx="3">
                  <c:v>curitiba</c:v>
                </c:pt>
                <c:pt idx="4">
                  <c:v>guarulhos</c:v>
                </c:pt>
                <c:pt idx="5">
                  <c:v>porto alegre</c:v>
                </c:pt>
                <c:pt idx="6">
                  <c:v>rio de janeiro</c:v>
                </c:pt>
                <c:pt idx="7">
                  <c:v>salvador</c:v>
                </c:pt>
                <c:pt idx="8">
                  <c:v>sao bernardo do campo</c:v>
                </c:pt>
                <c:pt idx="9">
                  <c:v>sao paulo</c:v>
                </c:pt>
              </c:strCache>
            </c:strRef>
          </c:cat>
          <c:val>
            <c:numRef>
              <c:f>P_top_cities_customer!$B$2:$B$11</c:f>
              <c:numCache>
                <c:formatCode>General</c:formatCode>
                <c:ptCount val="10"/>
                <c:pt idx="0">
                  <c:v>2773</c:v>
                </c:pt>
                <c:pt idx="1">
                  <c:v>2131</c:v>
                </c:pt>
                <c:pt idx="2">
                  <c:v>1444</c:v>
                </c:pt>
                <c:pt idx="3">
                  <c:v>1521</c:v>
                </c:pt>
                <c:pt idx="4">
                  <c:v>1189</c:v>
                </c:pt>
                <c:pt idx="5">
                  <c:v>1379</c:v>
                </c:pt>
                <c:pt idx="6">
                  <c:v>6882</c:v>
                </c:pt>
                <c:pt idx="7">
                  <c:v>1245</c:v>
                </c:pt>
                <c:pt idx="8">
                  <c:v>938</c:v>
                </c:pt>
                <c:pt idx="9">
                  <c:v>15540</c:v>
                </c:pt>
              </c:numCache>
            </c:numRef>
          </c:val>
          <c:extLst>
            <c:ext xmlns:c16="http://schemas.microsoft.com/office/drawing/2014/chart" uri="{C3380CC4-5D6E-409C-BE32-E72D297353CC}">
              <c16:uniqueId val="{00000000-2763-4E48-88FA-4D3AA92B1761}"/>
            </c:ext>
          </c:extLst>
        </c:ser>
        <c:dLbls>
          <c:showLegendKey val="0"/>
          <c:showVal val="0"/>
          <c:showCatName val="0"/>
          <c:showSerName val="0"/>
          <c:showPercent val="0"/>
          <c:showBubbleSize val="0"/>
        </c:dLbls>
        <c:gapWidth val="182"/>
        <c:axId val="446153248"/>
        <c:axId val="446155168"/>
      </c:barChart>
      <c:catAx>
        <c:axId val="44615324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46155168"/>
        <c:crosses val="autoZero"/>
        <c:auto val="1"/>
        <c:lblAlgn val="ctr"/>
        <c:lblOffset val="100"/>
        <c:noMultiLvlLbl val="0"/>
      </c:catAx>
      <c:valAx>
        <c:axId val="4461551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4615324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[ecommerce_dashboard.xlsx]P_top_cities_customer!PivotTable8</c:name>
    <c:fmtId val="18"/>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sz="1600" b="1" i="0" u="none" strike="noStrike" baseline="0">
                <a:effectLst>
                  <a:outerShdw blurRad="50800" dist="38100" dir="5400000" algn="t" rotWithShape="0">
                    <a:prstClr val="black">
                      <a:alpha val="40000"/>
                    </a:prstClr>
                  </a:outerShdw>
                </a:effectLst>
              </a:rPr>
              <a:t>Top Cities by Customers</a:t>
            </a:r>
            <a:endParaRPr lang="en-IN"/>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IN"/>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6133352104933244"/>
          <c:y val="0.23470418470418469"/>
          <c:w val="0.6931151805258059"/>
          <c:h val="0.40322289259297134"/>
        </c:manualLayout>
      </c:layout>
      <c:barChart>
        <c:barDir val="bar"/>
        <c:grouping val="clustered"/>
        <c:varyColors val="0"/>
        <c:ser>
          <c:idx val="0"/>
          <c:order val="0"/>
          <c:tx>
            <c:strRef>
              <c:f>P_top_cities_customer!$B$1</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P_top_cities_customer!$A$2:$A$11</c:f>
              <c:strCache>
                <c:ptCount val="10"/>
                <c:pt idx="0">
                  <c:v>belo horizonte</c:v>
                </c:pt>
                <c:pt idx="1">
                  <c:v>brasilia</c:v>
                </c:pt>
                <c:pt idx="2">
                  <c:v>campinas</c:v>
                </c:pt>
                <c:pt idx="3">
                  <c:v>curitiba</c:v>
                </c:pt>
                <c:pt idx="4">
                  <c:v>guarulhos</c:v>
                </c:pt>
                <c:pt idx="5">
                  <c:v>porto alegre</c:v>
                </c:pt>
                <c:pt idx="6">
                  <c:v>rio de janeiro</c:v>
                </c:pt>
                <c:pt idx="7">
                  <c:v>salvador</c:v>
                </c:pt>
                <c:pt idx="8">
                  <c:v>sao bernardo do campo</c:v>
                </c:pt>
                <c:pt idx="9">
                  <c:v>sao paulo</c:v>
                </c:pt>
              </c:strCache>
            </c:strRef>
          </c:cat>
          <c:val>
            <c:numRef>
              <c:f>P_top_cities_customer!$B$2:$B$11</c:f>
              <c:numCache>
                <c:formatCode>General</c:formatCode>
                <c:ptCount val="10"/>
                <c:pt idx="0">
                  <c:v>2773</c:v>
                </c:pt>
                <c:pt idx="1">
                  <c:v>2131</c:v>
                </c:pt>
                <c:pt idx="2">
                  <c:v>1444</c:v>
                </c:pt>
                <c:pt idx="3">
                  <c:v>1521</c:v>
                </c:pt>
                <c:pt idx="4">
                  <c:v>1189</c:v>
                </c:pt>
                <c:pt idx="5">
                  <c:v>1379</c:v>
                </c:pt>
                <c:pt idx="6">
                  <c:v>6882</c:v>
                </c:pt>
                <c:pt idx="7">
                  <c:v>1245</c:v>
                </c:pt>
                <c:pt idx="8">
                  <c:v>938</c:v>
                </c:pt>
                <c:pt idx="9">
                  <c:v>15540</c:v>
                </c:pt>
              </c:numCache>
            </c:numRef>
          </c:val>
          <c:extLst>
            <c:ext xmlns:c16="http://schemas.microsoft.com/office/drawing/2014/chart" uri="{C3380CC4-5D6E-409C-BE32-E72D297353CC}">
              <c16:uniqueId val="{00000000-5C8F-43F4-BC67-4E6EBE7F98F1}"/>
            </c:ext>
          </c:extLst>
        </c:ser>
        <c:dLbls>
          <c:showLegendKey val="0"/>
          <c:showVal val="0"/>
          <c:showCatName val="0"/>
          <c:showSerName val="0"/>
          <c:showPercent val="0"/>
          <c:showBubbleSize val="0"/>
        </c:dLbls>
        <c:gapWidth val="115"/>
        <c:overlap val="-20"/>
        <c:axId val="446153248"/>
        <c:axId val="446155168"/>
      </c:barChart>
      <c:catAx>
        <c:axId val="446153248"/>
        <c:scaling>
          <c:orientation val="minMax"/>
        </c:scaling>
        <c:delete val="0"/>
        <c:axPos val="l"/>
        <c:title>
          <c:tx>
            <c:rich>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IN">
                    <a:solidFill>
                      <a:srgbClr val="92D050"/>
                    </a:solidFill>
                  </a:rPr>
                  <a:t>CITIES</a:t>
                </a:r>
              </a:p>
            </c:rich>
          </c:tx>
          <c:overlay val="0"/>
          <c:spPr>
            <a:noFill/>
            <a:ln>
              <a:noFill/>
            </a:ln>
            <a:effectLst/>
          </c:spPr>
          <c:txPr>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446155168"/>
        <c:crosses val="autoZero"/>
        <c:auto val="1"/>
        <c:lblAlgn val="ctr"/>
        <c:lblOffset val="100"/>
        <c:noMultiLvlLbl val="0"/>
      </c:catAx>
      <c:valAx>
        <c:axId val="446155168"/>
        <c:scaling>
          <c:orientation val="minMax"/>
        </c:scaling>
        <c:delete val="0"/>
        <c:axPos val="b"/>
        <c:title>
          <c:tx>
            <c:rich>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IN">
                    <a:solidFill>
                      <a:srgbClr val="92D050"/>
                    </a:solidFill>
                  </a:rPr>
                  <a:t>REVENUE</a:t>
                </a:r>
              </a:p>
            </c:rich>
          </c:tx>
          <c:layout>
            <c:manualLayout>
              <c:xMode val="edge"/>
              <c:yMode val="edge"/>
              <c:x val="0.48937259279371687"/>
              <c:y val="0.76706335003579096"/>
            </c:manualLayout>
          </c:layout>
          <c:overlay val="0"/>
          <c:spPr>
            <a:noFill/>
            <a:ln>
              <a:noFill/>
            </a:ln>
            <a:effectLst/>
          </c:spPr>
          <c:txPr>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4461532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2">
        <a:lumMod val="75000"/>
      </a:schemeClr>
    </a:soli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[ecommerce_dashboard.xlsx]P_revenue_by_state!PivotTable6</c:name>
    <c:fmtId val="3"/>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sz="1600" b="1" i="0" u="none" strike="noStrike" baseline="0">
                <a:effectLst>
                  <a:outerShdw blurRad="50800" dist="38100" dir="5400000" algn="t" rotWithShape="0">
                    <a:prstClr val="black">
                      <a:alpha val="40000"/>
                    </a:prstClr>
                  </a:outerShdw>
                </a:effectLst>
              </a:rPr>
              <a:t>Revenue by State</a:t>
            </a:r>
            <a:endParaRPr lang="en-IN"/>
          </a:p>
        </c:rich>
      </c:tx>
      <c:layout>
        <c:manualLayout>
          <c:xMode val="edge"/>
          <c:yMode val="edge"/>
          <c:x val="0.34851984325425417"/>
          <c:y val="0.15519568151147098"/>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IN"/>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4512630365648738"/>
          <c:y val="0.26471798653567097"/>
          <c:w val="0.71786288420083122"/>
          <c:h val="0.42433939845357166"/>
        </c:manualLayout>
      </c:layout>
      <c:barChart>
        <c:barDir val="col"/>
        <c:grouping val="clustered"/>
        <c:varyColors val="0"/>
        <c:ser>
          <c:idx val="0"/>
          <c:order val="0"/>
          <c:tx>
            <c:strRef>
              <c:f>P_revenue_by_state!$B$3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P_revenue_by_state!$A$4:$A$30</c:f>
              <c:strCache>
                <c:ptCount val="27"/>
                <c:pt idx="0">
                  <c:v>AC</c:v>
                </c:pt>
                <c:pt idx="1">
                  <c:v>AL</c:v>
                </c:pt>
                <c:pt idx="2">
                  <c:v>AM</c:v>
                </c:pt>
                <c:pt idx="3">
                  <c:v>AP</c:v>
                </c:pt>
                <c:pt idx="4">
                  <c:v>BA</c:v>
                </c:pt>
                <c:pt idx="5">
                  <c:v>CE</c:v>
                </c:pt>
                <c:pt idx="6">
                  <c:v>DF</c:v>
                </c:pt>
                <c:pt idx="7">
                  <c:v>ES</c:v>
                </c:pt>
                <c:pt idx="8">
                  <c:v>GO</c:v>
                </c:pt>
                <c:pt idx="9">
                  <c:v>MA</c:v>
                </c:pt>
                <c:pt idx="10">
                  <c:v>MG</c:v>
                </c:pt>
                <c:pt idx="11">
                  <c:v>MS</c:v>
                </c:pt>
                <c:pt idx="12">
                  <c:v>MT</c:v>
                </c:pt>
                <c:pt idx="13">
                  <c:v>PA</c:v>
                </c:pt>
                <c:pt idx="14">
                  <c:v>PB</c:v>
                </c:pt>
                <c:pt idx="15">
                  <c:v>PE</c:v>
                </c:pt>
                <c:pt idx="16">
                  <c:v>PI</c:v>
                </c:pt>
                <c:pt idx="17">
                  <c:v>PR</c:v>
                </c:pt>
                <c:pt idx="18">
                  <c:v>RJ</c:v>
                </c:pt>
                <c:pt idx="19">
                  <c:v>RN</c:v>
                </c:pt>
                <c:pt idx="20">
                  <c:v>RO</c:v>
                </c:pt>
                <c:pt idx="21">
                  <c:v>RR</c:v>
                </c:pt>
                <c:pt idx="22">
                  <c:v>RS</c:v>
                </c:pt>
                <c:pt idx="23">
                  <c:v>SC</c:v>
                </c:pt>
                <c:pt idx="24">
                  <c:v>SE</c:v>
                </c:pt>
                <c:pt idx="25">
                  <c:v>SP</c:v>
                </c:pt>
                <c:pt idx="26">
                  <c:v>TO</c:v>
                </c:pt>
              </c:strCache>
            </c:strRef>
          </c:cat>
          <c:val>
            <c:numRef>
              <c:f>P_revenue_by_state!$B$4:$B$30</c:f>
              <c:numCache>
                <c:formatCode>General</c:formatCode>
                <c:ptCount val="27"/>
                <c:pt idx="0">
                  <c:v>15982.95</c:v>
                </c:pt>
                <c:pt idx="1">
                  <c:v>80314.81</c:v>
                </c:pt>
                <c:pt idx="2">
                  <c:v>22356.84</c:v>
                </c:pt>
                <c:pt idx="3">
                  <c:v>13474.3</c:v>
                </c:pt>
                <c:pt idx="4">
                  <c:v>511349.99</c:v>
                </c:pt>
                <c:pt idx="5">
                  <c:v>227254.71</c:v>
                </c:pt>
                <c:pt idx="6">
                  <c:v>302603.94</c:v>
                </c:pt>
                <c:pt idx="7">
                  <c:v>275037.31</c:v>
                </c:pt>
                <c:pt idx="8">
                  <c:v>294591.95</c:v>
                </c:pt>
                <c:pt idx="9">
                  <c:v>119648.22</c:v>
                </c:pt>
                <c:pt idx="10">
                  <c:v>1585308.03</c:v>
                </c:pt>
                <c:pt idx="11">
                  <c:v>116812.64</c:v>
                </c:pt>
                <c:pt idx="12">
                  <c:v>156453.53</c:v>
                </c:pt>
                <c:pt idx="13">
                  <c:v>178947.81</c:v>
                </c:pt>
                <c:pt idx="14">
                  <c:v>115268.08</c:v>
                </c:pt>
                <c:pt idx="15">
                  <c:v>262788.03000000003</c:v>
                </c:pt>
                <c:pt idx="16">
                  <c:v>86914.08</c:v>
                </c:pt>
                <c:pt idx="17">
                  <c:v>683083.76</c:v>
                </c:pt>
                <c:pt idx="18">
                  <c:v>1824092.67</c:v>
                </c:pt>
                <c:pt idx="19">
                  <c:v>83034.98</c:v>
                </c:pt>
                <c:pt idx="20">
                  <c:v>46140.639999999999</c:v>
                </c:pt>
                <c:pt idx="21">
                  <c:v>7829.43</c:v>
                </c:pt>
                <c:pt idx="22">
                  <c:v>750304.02</c:v>
                </c:pt>
                <c:pt idx="23">
                  <c:v>520553.34</c:v>
                </c:pt>
                <c:pt idx="24">
                  <c:v>58920.85</c:v>
                </c:pt>
                <c:pt idx="25">
                  <c:v>5202955.05</c:v>
                </c:pt>
                <c:pt idx="26">
                  <c:v>49621.74</c:v>
                </c:pt>
              </c:numCache>
            </c:numRef>
          </c:val>
          <c:extLst>
            <c:ext xmlns:c16="http://schemas.microsoft.com/office/drawing/2014/chart" uri="{C3380CC4-5D6E-409C-BE32-E72D297353CC}">
              <c16:uniqueId val="{00000000-4EF1-4505-B46B-CD32E4F18374}"/>
            </c:ext>
          </c:extLst>
        </c:ser>
        <c:dLbls>
          <c:showLegendKey val="0"/>
          <c:showVal val="0"/>
          <c:showCatName val="0"/>
          <c:showSerName val="0"/>
          <c:showPercent val="0"/>
          <c:showBubbleSize val="0"/>
        </c:dLbls>
        <c:gapWidth val="100"/>
        <c:overlap val="-24"/>
        <c:axId val="446111008"/>
        <c:axId val="446124448"/>
      </c:barChart>
      <c:catAx>
        <c:axId val="446111008"/>
        <c:scaling>
          <c:orientation val="minMax"/>
        </c:scaling>
        <c:delete val="0"/>
        <c:axPos val="b"/>
        <c:title>
          <c:tx>
            <c:rich>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IN">
                    <a:solidFill>
                      <a:srgbClr val="92D050"/>
                    </a:solidFill>
                  </a:rPr>
                  <a:t>STATES</a:t>
                </a:r>
              </a:p>
            </c:rich>
          </c:tx>
          <c:layout>
            <c:manualLayout>
              <c:xMode val="edge"/>
              <c:yMode val="edge"/>
              <c:x val="0.45986596939107038"/>
              <c:y val="0.78903349378898491"/>
            </c:manualLayout>
          </c:layout>
          <c:overlay val="0"/>
          <c:spPr>
            <a:noFill/>
            <a:ln>
              <a:noFill/>
            </a:ln>
            <a:effectLst/>
          </c:spPr>
          <c:txPr>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General" sourceLinked="1"/>
        <c:majorTickMark val="out"/>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446124448"/>
        <c:crosses val="autoZero"/>
        <c:auto val="1"/>
        <c:lblAlgn val="ctr"/>
        <c:lblOffset val="100"/>
        <c:noMultiLvlLbl val="0"/>
      </c:catAx>
      <c:valAx>
        <c:axId val="446124448"/>
        <c:scaling>
          <c:orientation val="minMax"/>
        </c:scaling>
        <c:delete val="0"/>
        <c:axPos val="l"/>
        <c:title>
          <c:tx>
            <c:rich>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US">
                    <a:solidFill>
                      <a:srgbClr val="92D050"/>
                    </a:solidFill>
                  </a:rPr>
                  <a:t>REVENUE </a:t>
                </a:r>
                <a:endParaRPr lang="en-IN">
                  <a:solidFill>
                    <a:srgbClr val="92D050"/>
                  </a:solidFill>
                </a:endParaRPr>
              </a:p>
            </c:rich>
          </c:tx>
          <c:overlay val="0"/>
          <c:spPr>
            <a:noFill/>
            <a:ln>
              <a:noFill/>
            </a:ln>
            <a:effectLst/>
          </c:spPr>
          <c:txPr>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IN"/>
            </a:p>
          </c:txPr>
        </c:title>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44611100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2">
        <a:lumMod val="75000"/>
      </a:schemeClr>
    </a:soli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[ecommerce_dashboard.xlsx]P_payment_distribution!PivotTable2</c:name>
    <c:fmtId val="3"/>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sz="1600" b="1" i="0" u="none" strike="noStrike" baseline="0">
                <a:effectLst>
                  <a:outerShdw blurRad="50800" dist="38100" dir="5400000" algn="t" rotWithShape="0">
                    <a:prstClr val="black">
                      <a:alpha val="40000"/>
                    </a:prstClr>
                  </a:outerShdw>
                </a:effectLst>
              </a:rPr>
              <a:t>Payment Type Distribution</a:t>
            </a:r>
            <a:endParaRPr lang="en-IN"/>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IN"/>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pivotFmt>
      <c:pivotFmt>
        <c:idx val="5"/>
      </c:pivotFmt>
      <c:pivotFmt>
        <c:idx val="6"/>
      </c:pivotFmt>
      <c:pivotFmt>
        <c:idx val="7"/>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8"/>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fld id="{CE7B51B9-633E-4905-B1C2-C118AA207C28}" type="CATEGORYNAME">
                  <a:rPr lang="en-US" b="1"/>
                  <a:pPr>
                    <a:defRPr/>
                  </a:pPr>
                  <a:t>[CATEGORY NAME]</a:t>
                </a:fld>
                <a:r>
                  <a:rPr lang="en-US" b="1" baseline="0"/>
                  <a:t>
</a:t>
                </a:r>
                <a:fld id="{461EDB3E-88A4-4415-9A33-456BDBB418B0}" type="PERCENTAGE">
                  <a:rPr lang="en-US" b="1" baseline="0"/>
                  <a:pPr>
                    <a:defRPr/>
                  </a:pPr>
                  <a:t>[PERCENTAGE]</a:t>
                </a:fld>
                <a:endParaRPr lang="en-US" b="1" baseline="0"/>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dlblFieldTable/>
              <c15:showDataLabelsRange val="0"/>
            </c:ext>
          </c:extLst>
        </c:dLbl>
      </c:pivotFmt>
      <c:pivotFmt>
        <c:idx val="9"/>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fld id="{1664857C-34CE-4932-9E1D-E6853298F189}" type="CATEGORYNAME">
                  <a:rPr lang="en-US" b="1">
                    <a:solidFill>
                      <a:schemeClr val="bg1"/>
                    </a:solidFill>
                  </a:rPr>
                  <a:pPr>
                    <a:defRPr/>
                  </a:pPr>
                  <a:t>[CATEGORY NAME]</a:t>
                </a:fld>
                <a:r>
                  <a:rPr lang="en-US" b="1" baseline="0">
                    <a:solidFill>
                      <a:schemeClr val="bg1"/>
                    </a:solidFill>
                  </a:rPr>
                  <a:t>
</a:t>
                </a:r>
                <a:fld id="{3FFC2A5B-C4DF-4EA0-89B4-71A6245F2BD2}" type="PERCENTAGE">
                  <a:rPr lang="en-US" b="1" baseline="0">
                    <a:solidFill>
                      <a:schemeClr val="bg1"/>
                    </a:solidFill>
                  </a:rPr>
                  <a:pPr>
                    <a:defRPr/>
                  </a:pPr>
                  <a:t>[PERCENTAGE]</a:t>
                </a:fld>
                <a:endParaRPr lang="en-US" b="1" baseline="0">
                  <a:solidFill>
                    <a:schemeClr val="bg1"/>
                  </a:solidFill>
                </a:endParaRPr>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dlblFieldTable/>
              <c15:showDataLabelsRange val="0"/>
            </c:ext>
          </c:extLst>
        </c:dLbl>
      </c:pivotFmt>
      <c:pivotFmt>
        <c:idx val="1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3575550298859701"/>
              <c:y val="7.1804153675421423E-2"/>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fld id="{1BC31080-FDD3-4F6F-8EF3-AF2D48F2E66F}" type="CATEGORYNAME">
                  <a:rPr lang="en-US" b="1"/>
                  <a:pPr>
                    <a:defRPr/>
                  </a:pPr>
                  <a:t>[CATEGORY NAME]</a:t>
                </a:fld>
                <a:r>
                  <a:rPr lang="en-US" b="1" baseline="0"/>
                  <a:t>
</a:t>
                </a:r>
                <a:fld id="{4C5153AE-B4A8-4203-9D31-E23538E528A9}" type="PERCENTAGE">
                  <a:rPr lang="en-US" b="1" baseline="0"/>
                  <a:pPr>
                    <a:defRPr/>
                  </a:pPr>
                  <a:t>[PERCENTAGE]</a:t>
                </a:fld>
                <a:endParaRPr lang="en-US" b="1" baseline="0"/>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dlblFieldTable/>
              <c15:showDataLabelsRange val="0"/>
            </c:ext>
          </c:extLst>
        </c:dLbl>
      </c:pivotFmt>
      <c:pivotFmt>
        <c:idx val="11"/>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fld id="{893F2D50-2376-40DF-B283-96A58616CED2}" type="CATEGORYNAME">
                  <a:rPr lang="en-US" b="1"/>
                  <a:pPr>
                    <a:defRPr/>
                  </a:pPr>
                  <a:t>[CATEGORY NAME]</a:t>
                </a:fld>
                <a:r>
                  <a:rPr lang="en-US" b="1" baseline="0"/>
                  <a:t>
</a:t>
                </a:r>
                <a:fld id="{366BB4DD-8AC6-4BE4-81F4-6B0B3603E70E}" type="PERCENTAGE">
                  <a:rPr lang="en-US" b="1" baseline="0"/>
                  <a:pPr>
                    <a:defRPr/>
                  </a:pPr>
                  <a:t>[PERCENTAGE]</a:t>
                </a:fld>
                <a:endParaRPr lang="en-US" b="1" baseline="0"/>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dlblFieldTable/>
              <c15:showDataLabelsRange val="0"/>
            </c:ext>
          </c:extLst>
        </c:dLbl>
      </c:pivotFmt>
      <c:pivotFmt>
        <c:idx val="12"/>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1165966386554622"/>
              <c:y val="6.8171008825239127E-4"/>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fld id="{C99EFFAA-E0F7-47A7-9B87-4CAB43B683E4}" type="CATEGORYNAME">
                  <a:rPr lang="en-US" b="1"/>
                  <a:pPr>
                    <a:defRPr/>
                  </a:pPr>
                  <a:t>[CATEGORY NAME]</a:t>
                </a:fld>
                <a:r>
                  <a:rPr lang="en-US" b="1" baseline="0"/>
                  <a:t>
</a:t>
                </a:r>
                <a:fld id="{3FB7ADBA-5D26-4C8D-A2BD-65A803E684A6}" type="PERCENTAGE">
                  <a:rPr lang="en-US" b="1" baseline="0"/>
                  <a:pPr>
                    <a:defRPr/>
                  </a:pPr>
                  <a:t>[PERCENTAGE]</a:t>
                </a:fld>
                <a:endParaRPr lang="en-US" b="1" baseline="0"/>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dlblFieldTable/>
              <c15:showDataLabelsRange val="0"/>
            </c:ext>
          </c:extLst>
        </c:dLbl>
      </c:pivotFmt>
    </c:pivotFmts>
    <c:plotArea>
      <c:layout/>
      <c:pieChart>
        <c:varyColors val="1"/>
        <c:ser>
          <c:idx val="0"/>
          <c:order val="0"/>
          <c:tx>
            <c:strRef>
              <c:f>P_payment_distribution!$B$1</c:f>
              <c:strCache>
                <c:ptCount val="1"/>
                <c:pt idx="0">
                  <c:v>Total</c:v>
                </c:pt>
              </c:strCache>
            </c:strRef>
          </c:tx>
          <c:dPt>
            <c:idx val="0"/>
            <c:bubble3D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A831-4C50-A89B-F5EE438902CB}"/>
              </c:ext>
            </c:extLst>
          </c:dPt>
          <c:dPt>
            <c:idx val="1"/>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A831-4C50-A89B-F5EE438902CB}"/>
              </c:ext>
            </c:extLst>
          </c:dPt>
          <c:dPt>
            <c:idx val="2"/>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A831-4C50-A89B-F5EE438902CB}"/>
              </c:ext>
            </c:extLst>
          </c:dPt>
          <c:dPt>
            <c:idx val="3"/>
            <c:bubble3D val="0"/>
            <c:spPr>
              <a:gradFill rotWithShape="1">
                <a:gsLst>
                  <a:gs pos="0">
                    <a:schemeClr val="accent6">
                      <a:lumMod val="60000"/>
                      <a:satMod val="103000"/>
                      <a:lumMod val="102000"/>
                      <a:tint val="94000"/>
                    </a:schemeClr>
                  </a:gs>
                  <a:gs pos="50000">
                    <a:schemeClr val="accent6">
                      <a:lumMod val="60000"/>
                      <a:satMod val="110000"/>
                      <a:lumMod val="100000"/>
                      <a:shade val="100000"/>
                    </a:schemeClr>
                  </a:gs>
                  <a:gs pos="100000">
                    <a:schemeClr val="accent6">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A831-4C50-A89B-F5EE438902CB}"/>
              </c:ext>
            </c:extLst>
          </c:dPt>
          <c:dPt>
            <c:idx val="4"/>
            <c:bubble3D val="0"/>
            <c:spPr>
              <a:gradFill rotWithShape="1">
                <a:gsLst>
                  <a:gs pos="0">
                    <a:schemeClr val="accent5">
                      <a:lumMod val="60000"/>
                      <a:satMod val="103000"/>
                      <a:lumMod val="102000"/>
                      <a:tint val="94000"/>
                    </a:schemeClr>
                  </a:gs>
                  <a:gs pos="50000">
                    <a:schemeClr val="accent5">
                      <a:lumMod val="60000"/>
                      <a:satMod val="110000"/>
                      <a:lumMod val="100000"/>
                      <a:shade val="100000"/>
                    </a:schemeClr>
                  </a:gs>
                  <a:gs pos="100000">
                    <a:schemeClr val="accent5">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9-A831-4C50-A89B-F5EE438902CB}"/>
              </c:ext>
            </c:extLst>
          </c:dPt>
          <c:dLbls>
            <c:dLbl>
              <c:idx val="0"/>
              <c:tx>
                <c:rich>
                  <a:bodyPr/>
                  <a:lstStyle/>
                  <a:p>
                    <a:fld id="{CE7B51B9-633E-4905-B1C2-C118AA207C28}" type="CATEGORYNAME">
                      <a:rPr lang="en-US" b="1"/>
                      <a:pPr/>
                      <a:t>[CATEGORY NAME]</a:t>
                    </a:fld>
                    <a:r>
                      <a:rPr lang="en-US" b="1" baseline="0"/>
                      <a:t>
</a:t>
                    </a:r>
                    <a:fld id="{461EDB3E-88A4-4415-9A33-456BDBB418B0}" type="PERCENTAGE">
                      <a:rPr lang="en-US" b="1" baseline="0"/>
                      <a:pPr/>
                      <a:t>[PERCENTAGE]</a:t>
                    </a:fld>
                    <a:endParaRPr lang="en-US" b="1" baseline="0"/>
                  </a:p>
                </c:rich>
              </c:tx>
              <c:showLegendKey val="0"/>
              <c:showVal val="0"/>
              <c:showCatName val="1"/>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1-A831-4C50-A89B-F5EE438902CB}"/>
                </c:ext>
              </c:extLst>
            </c:dLbl>
            <c:dLbl>
              <c:idx val="1"/>
              <c:tx>
                <c:rich>
                  <a:bodyPr/>
                  <a:lstStyle/>
                  <a:p>
                    <a:fld id="{1664857C-34CE-4932-9E1D-E6853298F189}" type="CATEGORYNAME">
                      <a:rPr lang="en-US" b="1">
                        <a:solidFill>
                          <a:schemeClr val="bg1"/>
                        </a:solidFill>
                      </a:rPr>
                      <a:pPr/>
                      <a:t>[CATEGORY NAME]</a:t>
                    </a:fld>
                    <a:r>
                      <a:rPr lang="en-US" b="1" baseline="0">
                        <a:solidFill>
                          <a:schemeClr val="bg1"/>
                        </a:solidFill>
                      </a:rPr>
                      <a:t>
</a:t>
                    </a:r>
                    <a:fld id="{3FFC2A5B-C4DF-4EA0-89B4-71A6245F2BD2}" type="PERCENTAGE">
                      <a:rPr lang="en-US" b="1" baseline="0">
                        <a:solidFill>
                          <a:schemeClr val="bg1"/>
                        </a:solidFill>
                      </a:rPr>
                      <a:pPr/>
                      <a:t>[PERCENTAGE]</a:t>
                    </a:fld>
                    <a:endParaRPr lang="en-US" b="1" baseline="0">
                      <a:solidFill>
                        <a:schemeClr val="bg1"/>
                      </a:solidFill>
                    </a:endParaRPr>
                  </a:p>
                </c:rich>
              </c:tx>
              <c:showLegendKey val="0"/>
              <c:showVal val="0"/>
              <c:showCatName val="1"/>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3-A831-4C50-A89B-F5EE438902CB}"/>
                </c:ext>
              </c:extLst>
            </c:dLbl>
            <c:dLbl>
              <c:idx val="2"/>
              <c:layout>
                <c:manualLayout>
                  <c:x val="-0.13575550298859701"/>
                  <c:y val="7.1804153675421423E-2"/>
                </c:manualLayout>
              </c:layout>
              <c:tx>
                <c:rich>
                  <a:bodyPr/>
                  <a:lstStyle/>
                  <a:p>
                    <a:fld id="{1BC31080-FDD3-4F6F-8EF3-AF2D48F2E66F}" type="CATEGORYNAME">
                      <a:rPr lang="en-US" b="1"/>
                      <a:pPr/>
                      <a:t>[CATEGORY NAME]</a:t>
                    </a:fld>
                    <a:r>
                      <a:rPr lang="en-US" b="1" baseline="0"/>
                      <a:t>
</a:t>
                    </a:r>
                    <a:fld id="{4C5153AE-B4A8-4203-9D31-E23538E528A9}" type="PERCENTAGE">
                      <a:rPr lang="en-US" b="1" baseline="0"/>
                      <a:pPr/>
                      <a:t>[PERCENTAGE]</a:t>
                    </a:fld>
                    <a:endParaRPr lang="en-US" b="1" baseline="0"/>
                  </a:p>
                </c:rich>
              </c:tx>
              <c:showLegendKey val="0"/>
              <c:showVal val="0"/>
              <c:showCatName val="1"/>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5-A831-4C50-A89B-F5EE438902CB}"/>
                </c:ext>
              </c:extLst>
            </c:dLbl>
            <c:dLbl>
              <c:idx val="3"/>
              <c:tx>
                <c:rich>
                  <a:bodyPr/>
                  <a:lstStyle/>
                  <a:p>
                    <a:fld id="{893F2D50-2376-40DF-B283-96A58616CED2}" type="CATEGORYNAME">
                      <a:rPr lang="en-US" b="1"/>
                      <a:pPr/>
                      <a:t>[CATEGORY NAME]</a:t>
                    </a:fld>
                    <a:r>
                      <a:rPr lang="en-US" b="1" baseline="0"/>
                      <a:t>
</a:t>
                    </a:r>
                    <a:fld id="{366BB4DD-8AC6-4BE4-81F4-6B0B3603E70E}" type="PERCENTAGE">
                      <a:rPr lang="en-US" b="1" baseline="0"/>
                      <a:pPr/>
                      <a:t>[PERCENTAGE]</a:t>
                    </a:fld>
                    <a:endParaRPr lang="en-US" b="1" baseline="0"/>
                  </a:p>
                </c:rich>
              </c:tx>
              <c:showLegendKey val="0"/>
              <c:showVal val="0"/>
              <c:showCatName val="1"/>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7-A831-4C50-A89B-F5EE438902CB}"/>
                </c:ext>
              </c:extLst>
            </c:dLbl>
            <c:dLbl>
              <c:idx val="4"/>
              <c:layout>
                <c:manualLayout>
                  <c:x val="0.11165966386554622"/>
                  <c:y val="6.8171008825239127E-4"/>
                </c:manualLayout>
              </c:layout>
              <c:tx>
                <c:rich>
                  <a:bodyPr/>
                  <a:lstStyle/>
                  <a:p>
                    <a:fld id="{C99EFFAA-E0F7-47A7-9B87-4CAB43B683E4}" type="CATEGORYNAME">
                      <a:rPr lang="en-US" b="1"/>
                      <a:pPr/>
                      <a:t>[CATEGORY NAME]</a:t>
                    </a:fld>
                    <a:r>
                      <a:rPr lang="en-US" b="1" baseline="0"/>
                      <a:t>
</a:t>
                    </a:r>
                    <a:fld id="{3FB7ADBA-5D26-4C8D-A2BD-65A803E684A6}" type="PERCENTAGE">
                      <a:rPr lang="en-US" b="1" baseline="0"/>
                      <a:pPr/>
                      <a:t>[PERCENTAGE]</a:t>
                    </a:fld>
                    <a:endParaRPr lang="en-US" b="1" baseline="0"/>
                  </a:p>
                </c:rich>
              </c:tx>
              <c:showLegendKey val="0"/>
              <c:showVal val="0"/>
              <c:showCatName val="1"/>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9-A831-4C50-A89B-F5EE438902C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1"/>
            <c:showSerName val="0"/>
            <c:showPercent val="1"/>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P_payment_distribution!$A$2:$A$6</c:f>
              <c:strCache>
                <c:ptCount val="5"/>
                <c:pt idx="0">
                  <c:v>boleto</c:v>
                </c:pt>
                <c:pt idx="1">
                  <c:v>credit_card</c:v>
                </c:pt>
                <c:pt idx="2">
                  <c:v>debit_card</c:v>
                </c:pt>
                <c:pt idx="3">
                  <c:v>not_defined</c:v>
                </c:pt>
                <c:pt idx="4">
                  <c:v>voucher</c:v>
                </c:pt>
              </c:strCache>
            </c:strRef>
          </c:cat>
          <c:val>
            <c:numRef>
              <c:f>P_payment_distribution!$B$2:$B$6</c:f>
              <c:numCache>
                <c:formatCode>General</c:formatCode>
                <c:ptCount val="5"/>
                <c:pt idx="0">
                  <c:v>19784</c:v>
                </c:pt>
                <c:pt idx="1">
                  <c:v>76795</c:v>
                </c:pt>
                <c:pt idx="2">
                  <c:v>1529</c:v>
                </c:pt>
                <c:pt idx="3">
                  <c:v>3</c:v>
                </c:pt>
                <c:pt idx="4">
                  <c:v>5775</c:v>
                </c:pt>
              </c:numCache>
            </c:numRef>
          </c:val>
          <c:extLst>
            <c:ext xmlns:c16="http://schemas.microsoft.com/office/drawing/2014/chart" uri="{C3380CC4-5D6E-409C-BE32-E72D297353CC}">
              <c16:uniqueId val="{0000000A-A831-4C50-A89B-F5EE438902CB}"/>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2">
        <a:lumMod val="75000"/>
      </a:schemeClr>
    </a:soli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[ecommerce_dashboard.xlsx]P_monthly_revenue!PivotTable4</c:name>
    <c:fmtId val="8"/>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sz="1600" b="1" i="0" u="none" strike="noStrike" baseline="0">
                <a:effectLst>
                  <a:outerShdw blurRad="50800" dist="38100" dir="5400000" algn="t" rotWithShape="0">
                    <a:prstClr val="black">
                      <a:alpha val="40000"/>
                    </a:prstClr>
                  </a:outerShdw>
                </a:effectLst>
              </a:rPr>
              <a:t>Monthly Revenue Trend</a:t>
            </a:r>
            <a:endParaRPr lang="en-IN"/>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IN"/>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1885453031963234"/>
          <c:y val="0.22667785234899332"/>
          <c:w val="0.73982642339610449"/>
          <c:h val="0.53739761137240394"/>
        </c:manualLayout>
      </c:layout>
      <c:lineChart>
        <c:grouping val="standard"/>
        <c:varyColors val="0"/>
        <c:ser>
          <c:idx val="0"/>
          <c:order val="0"/>
          <c:tx>
            <c:strRef>
              <c:f>P_monthly_revenue!$B$2</c:f>
              <c:strCache>
                <c:ptCount val="1"/>
                <c:pt idx="0">
                  <c:v>Total</c:v>
                </c:pt>
              </c:strCache>
            </c:strRef>
          </c:tx>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cat>
            <c:strRef>
              <c:f>P_monthly_revenue!$A$3:$A$26</c:f>
              <c:strCache>
                <c:ptCount val="24"/>
                <c:pt idx="0">
                  <c:v>01-09-2016 00:00</c:v>
                </c:pt>
                <c:pt idx="1">
                  <c:v>01-10-2016 00:00</c:v>
                </c:pt>
                <c:pt idx="2">
                  <c:v>01-12-2016 00:00</c:v>
                </c:pt>
                <c:pt idx="3">
                  <c:v>01-01-2017 00:00</c:v>
                </c:pt>
                <c:pt idx="4">
                  <c:v>01-02-2017 00:00</c:v>
                </c:pt>
                <c:pt idx="5">
                  <c:v>01-03-2017 00:00</c:v>
                </c:pt>
                <c:pt idx="6">
                  <c:v>01-04-2017 00:00</c:v>
                </c:pt>
                <c:pt idx="7">
                  <c:v>01-05-2017 00:00</c:v>
                </c:pt>
                <c:pt idx="8">
                  <c:v>01-06-2017 00:00</c:v>
                </c:pt>
                <c:pt idx="9">
                  <c:v>01-07-2017 00:00</c:v>
                </c:pt>
                <c:pt idx="10">
                  <c:v>01-08-2017 00:00</c:v>
                </c:pt>
                <c:pt idx="11">
                  <c:v>01-09-2017 00:00</c:v>
                </c:pt>
                <c:pt idx="12">
                  <c:v>01-10-2017 00:00</c:v>
                </c:pt>
                <c:pt idx="13">
                  <c:v>01-11-2017 00:00</c:v>
                </c:pt>
                <c:pt idx="14">
                  <c:v>01-12-2017 00:00</c:v>
                </c:pt>
                <c:pt idx="15">
                  <c:v>01-01-2018 00:00</c:v>
                </c:pt>
                <c:pt idx="16">
                  <c:v>01-02-2018 00:00</c:v>
                </c:pt>
                <c:pt idx="17">
                  <c:v>01-03-2018 00:00</c:v>
                </c:pt>
                <c:pt idx="18">
                  <c:v>01-04-2018 00:00</c:v>
                </c:pt>
                <c:pt idx="19">
                  <c:v>01-05-2018 00:00</c:v>
                </c:pt>
                <c:pt idx="20">
                  <c:v>01-06-2018 00:00</c:v>
                </c:pt>
                <c:pt idx="21">
                  <c:v>01-07-2018 00:00</c:v>
                </c:pt>
                <c:pt idx="22">
                  <c:v>01-08-2018 00:00</c:v>
                </c:pt>
                <c:pt idx="23">
                  <c:v>01-09-2018 00:00</c:v>
                </c:pt>
              </c:strCache>
            </c:strRef>
          </c:cat>
          <c:val>
            <c:numRef>
              <c:f>P_monthly_revenue!$B$3:$B$26</c:f>
              <c:numCache>
                <c:formatCode>General</c:formatCode>
                <c:ptCount val="24"/>
                <c:pt idx="0">
                  <c:v>267.36</c:v>
                </c:pt>
                <c:pt idx="1">
                  <c:v>49507.66</c:v>
                </c:pt>
                <c:pt idx="2">
                  <c:v>10.9</c:v>
                </c:pt>
                <c:pt idx="3">
                  <c:v>120312.87</c:v>
                </c:pt>
                <c:pt idx="4">
                  <c:v>247303.02</c:v>
                </c:pt>
                <c:pt idx="5">
                  <c:v>374344.3</c:v>
                </c:pt>
                <c:pt idx="6">
                  <c:v>359927.23</c:v>
                </c:pt>
                <c:pt idx="7">
                  <c:v>506071.14</c:v>
                </c:pt>
                <c:pt idx="8">
                  <c:v>433038.6</c:v>
                </c:pt>
                <c:pt idx="9">
                  <c:v>498031.48</c:v>
                </c:pt>
                <c:pt idx="10">
                  <c:v>573971.68000000005</c:v>
                </c:pt>
                <c:pt idx="11">
                  <c:v>624401.68999999994</c:v>
                </c:pt>
                <c:pt idx="12">
                  <c:v>664219.43000000005</c:v>
                </c:pt>
                <c:pt idx="13">
                  <c:v>1010271.37</c:v>
                </c:pt>
                <c:pt idx="14">
                  <c:v>743914.17</c:v>
                </c:pt>
                <c:pt idx="15">
                  <c:v>950030.36</c:v>
                </c:pt>
                <c:pt idx="16">
                  <c:v>844178.71</c:v>
                </c:pt>
                <c:pt idx="17">
                  <c:v>983213.44</c:v>
                </c:pt>
                <c:pt idx="18">
                  <c:v>996647.75</c:v>
                </c:pt>
                <c:pt idx="19">
                  <c:v>996517.68</c:v>
                </c:pt>
                <c:pt idx="20">
                  <c:v>865124.31</c:v>
                </c:pt>
                <c:pt idx="21">
                  <c:v>895507.22</c:v>
                </c:pt>
                <c:pt idx="22">
                  <c:v>854686.33</c:v>
                </c:pt>
                <c:pt idx="23">
                  <c:v>145</c:v>
                </c:pt>
              </c:numCache>
            </c:numRef>
          </c:val>
          <c:smooth val="0"/>
          <c:extLst>
            <c:ext xmlns:c16="http://schemas.microsoft.com/office/drawing/2014/chart" uri="{C3380CC4-5D6E-409C-BE32-E72D297353CC}">
              <c16:uniqueId val="{00000000-1817-41CF-990C-F4340330BD37}"/>
            </c:ext>
          </c:extLst>
        </c:ser>
        <c:dLbls>
          <c:showLegendKey val="0"/>
          <c:showVal val="0"/>
          <c:showCatName val="0"/>
          <c:showSerName val="0"/>
          <c:showPercent val="0"/>
          <c:showBubbleSize val="0"/>
        </c:dLbls>
        <c:marker val="1"/>
        <c:smooth val="0"/>
        <c:axId val="866263680"/>
        <c:axId val="866269920"/>
      </c:lineChart>
      <c:catAx>
        <c:axId val="866263680"/>
        <c:scaling>
          <c:orientation val="minMax"/>
        </c:scaling>
        <c:delete val="0"/>
        <c:axPos val="b"/>
        <c:title>
          <c:tx>
            <c:rich>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IN">
                    <a:solidFill>
                      <a:srgbClr val="92D050"/>
                    </a:solidFill>
                  </a:rPr>
                  <a:t>MONTH</a:t>
                </a:r>
              </a:p>
            </c:rich>
          </c:tx>
          <c:overlay val="0"/>
          <c:spPr>
            <a:noFill/>
            <a:ln>
              <a:noFill/>
            </a:ln>
            <a:effectLst/>
          </c:spPr>
          <c:txPr>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0_);\(#,##0\)" sourceLinked="0"/>
        <c:majorTickMark val="none"/>
        <c:minorTickMark val="none"/>
        <c:tickLblPos val="nextTo"/>
        <c:spPr>
          <a:noFill/>
          <a:ln w="12700" cap="flat" cmpd="sng" algn="ctr">
            <a:solidFill>
              <a:schemeClr val="lt1">
                <a:lumMod val="95000"/>
                <a:alpha val="54000"/>
              </a:schemeClr>
            </a:solidFill>
            <a:round/>
          </a:ln>
          <a:effectLst/>
        </c:spPr>
        <c:txPr>
          <a:bodyPr rot="-2100000" spcFirstLastPara="1" vertOverflow="ellipsis"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866269920"/>
        <c:crosses val="autoZero"/>
        <c:auto val="0"/>
        <c:lblAlgn val="ctr"/>
        <c:lblOffset val="100"/>
        <c:noMultiLvlLbl val="0"/>
      </c:catAx>
      <c:valAx>
        <c:axId val="866269920"/>
        <c:scaling>
          <c:orientation val="minMax"/>
        </c:scaling>
        <c:delete val="0"/>
        <c:axPos val="l"/>
        <c:title>
          <c:tx>
            <c:rich>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IN">
                    <a:solidFill>
                      <a:srgbClr val="92D050"/>
                    </a:solidFill>
                  </a:rPr>
                  <a:t>REVENUE</a:t>
                </a:r>
              </a:p>
            </c:rich>
          </c:tx>
          <c:overlay val="0"/>
          <c:spPr>
            <a:noFill/>
            <a:ln>
              <a:noFill/>
            </a:ln>
            <a:effectLst/>
          </c:spPr>
          <c:txPr>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86626368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2">
        <a:lumMod val="75000"/>
      </a:schemeClr>
    </a:soli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[ecommerce_dashboard.xlsx]P_order_by_status!PivotTable14</c:name>
    <c:fmtId val="46"/>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sz="1600" b="1" i="0" u="none" strike="noStrike" baseline="0">
                <a:effectLst>
                  <a:outerShdw blurRad="50800" dist="38100" dir="5400000" algn="t" rotWithShape="0">
                    <a:prstClr val="black">
                      <a:alpha val="40000"/>
                    </a:prstClr>
                  </a:outerShdw>
                </a:effectLst>
              </a:rPr>
              <a:t>Orders by Status</a:t>
            </a:r>
            <a:endParaRPr lang="en-IN"/>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IN"/>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6126195613769434"/>
          <c:y val="0.2302453390509285"/>
          <c:w val="0.67754436900552428"/>
          <c:h val="0.40834544287114327"/>
        </c:manualLayout>
      </c:layout>
      <c:barChart>
        <c:barDir val="bar"/>
        <c:grouping val="clustered"/>
        <c:varyColors val="0"/>
        <c:ser>
          <c:idx val="0"/>
          <c:order val="0"/>
          <c:tx>
            <c:strRef>
              <c:f>P_order_by_status!$B$1</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P_order_by_status!$A$2:$A$9</c:f>
              <c:strCache>
                <c:ptCount val="8"/>
                <c:pt idx="0">
                  <c:v>approved</c:v>
                </c:pt>
                <c:pt idx="1">
                  <c:v>canceled</c:v>
                </c:pt>
                <c:pt idx="2">
                  <c:v>created</c:v>
                </c:pt>
                <c:pt idx="3">
                  <c:v>delivered</c:v>
                </c:pt>
                <c:pt idx="4">
                  <c:v>invoiced</c:v>
                </c:pt>
                <c:pt idx="5">
                  <c:v>processing</c:v>
                </c:pt>
                <c:pt idx="6">
                  <c:v>shipped</c:v>
                </c:pt>
                <c:pt idx="7">
                  <c:v>unavailable</c:v>
                </c:pt>
              </c:strCache>
            </c:strRef>
          </c:cat>
          <c:val>
            <c:numRef>
              <c:f>P_order_by_status!$B$2:$B$9</c:f>
              <c:numCache>
                <c:formatCode>General</c:formatCode>
                <c:ptCount val="8"/>
                <c:pt idx="0">
                  <c:v>2</c:v>
                </c:pt>
                <c:pt idx="1">
                  <c:v>625</c:v>
                </c:pt>
                <c:pt idx="2">
                  <c:v>5</c:v>
                </c:pt>
                <c:pt idx="3">
                  <c:v>96478</c:v>
                </c:pt>
                <c:pt idx="4">
                  <c:v>314</c:v>
                </c:pt>
                <c:pt idx="5">
                  <c:v>301</c:v>
                </c:pt>
                <c:pt idx="6">
                  <c:v>1107</c:v>
                </c:pt>
                <c:pt idx="7">
                  <c:v>609</c:v>
                </c:pt>
              </c:numCache>
            </c:numRef>
          </c:val>
          <c:extLst>
            <c:ext xmlns:c16="http://schemas.microsoft.com/office/drawing/2014/chart" uri="{C3380CC4-5D6E-409C-BE32-E72D297353CC}">
              <c16:uniqueId val="{00000000-4523-46C3-85E9-F7C2A2DFEE39}"/>
            </c:ext>
          </c:extLst>
        </c:ser>
        <c:dLbls>
          <c:showLegendKey val="0"/>
          <c:showVal val="0"/>
          <c:showCatName val="0"/>
          <c:showSerName val="0"/>
          <c:showPercent val="0"/>
          <c:showBubbleSize val="0"/>
        </c:dLbls>
        <c:gapWidth val="100"/>
        <c:axId val="154171535"/>
        <c:axId val="154158575"/>
      </c:barChart>
      <c:catAx>
        <c:axId val="154171535"/>
        <c:scaling>
          <c:orientation val="minMax"/>
        </c:scaling>
        <c:delete val="0"/>
        <c:axPos val="l"/>
        <c:title>
          <c:tx>
            <c:rich>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IN">
                    <a:solidFill>
                      <a:srgbClr val="92D050"/>
                    </a:solidFill>
                  </a:rPr>
                  <a:t>ORDER STATUS</a:t>
                </a:r>
              </a:p>
            </c:rich>
          </c:tx>
          <c:overlay val="0"/>
          <c:spPr>
            <a:noFill/>
            <a:ln>
              <a:noFill/>
            </a:ln>
            <a:effectLst/>
          </c:spPr>
          <c:txPr>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54158575"/>
        <c:crosses val="autoZero"/>
        <c:auto val="1"/>
        <c:lblAlgn val="ctr"/>
        <c:lblOffset val="100"/>
        <c:noMultiLvlLbl val="0"/>
      </c:catAx>
      <c:valAx>
        <c:axId val="154158575"/>
        <c:scaling>
          <c:orientation val="minMax"/>
        </c:scaling>
        <c:delete val="0"/>
        <c:axPos val="b"/>
        <c:title>
          <c:tx>
            <c:rich>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IN">
                    <a:solidFill>
                      <a:srgbClr val="92D050"/>
                    </a:solidFill>
                  </a:rPr>
                  <a:t>NUMBER OF ORDERS</a:t>
                </a:r>
              </a:p>
            </c:rich>
          </c:tx>
          <c:layout>
            <c:manualLayout>
              <c:xMode val="edge"/>
              <c:yMode val="edge"/>
              <c:x val="0.38285666515243288"/>
              <c:y val="0.78799561006201657"/>
            </c:manualLayout>
          </c:layout>
          <c:overlay val="0"/>
          <c:spPr>
            <a:noFill/>
            <a:ln>
              <a:noFill/>
            </a:ln>
            <a:effectLst/>
          </c:spPr>
          <c:txPr>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5417153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2">
        <a:lumMod val="75000"/>
      </a:schemeClr>
    </a:soli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[ecommerce_dashboard.xlsx]P_revenue_by_category!PivotTable2</c:name>
    <c:fmtId val="3"/>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sz="1600" b="1" i="0" u="none" strike="noStrike" baseline="0">
                <a:effectLst>
                  <a:outerShdw blurRad="50800" dist="38100" dir="5400000" algn="t" rotWithShape="0">
                    <a:prstClr val="black">
                      <a:alpha val="40000"/>
                    </a:prstClr>
                  </a:outerShdw>
                </a:effectLst>
              </a:rPr>
              <a:t>Revenue by Category</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P_revenue_by_category!$B$1</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P_revenue_by_category!$A$2:$A$6</c:f>
              <c:strCache>
                <c:ptCount val="5"/>
                <c:pt idx="0">
                  <c:v>beleza_saude</c:v>
                </c:pt>
                <c:pt idx="1">
                  <c:v>cama_mesa_banho</c:v>
                </c:pt>
                <c:pt idx="2">
                  <c:v>esporte_lazer</c:v>
                </c:pt>
                <c:pt idx="3">
                  <c:v>moveis_decoracao</c:v>
                </c:pt>
                <c:pt idx="4">
                  <c:v>utilidades_domesticas</c:v>
                </c:pt>
              </c:strCache>
            </c:strRef>
          </c:cat>
          <c:val>
            <c:numRef>
              <c:f>P_revenue_by_category!$B$2:$B$6</c:f>
              <c:numCache>
                <c:formatCode>General</c:formatCode>
                <c:ptCount val="5"/>
                <c:pt idx="0">
                  <c:v>2444</c:v>
                </c:pt>
                <c:pt idx="1">
                  <c:v>3029</c:v>
                </c:pt>
                <c:pt idx="2">
                  <c:v>2867</c:v>
                </c:pt>
                <c:pt idx="3">
                  <c:v>2657</c:v>
                </c:pt>
                <c:pt idx="4">
                  <c:v>2335</c:v>
                </c:pt>
              </c:numCache>
            </c:numRef>
          </c:val>
          <c:extLst>
            <c:ext xmlns:c16="http://schemas.microsoft.com/office/drawing/2014/chart" uri="{C3380CC4-5D6E-409C-BE32-E72D297353CC}">
              <c16:uniqueId val="{00000003-C495-4FF2-AE31-BF7BEA2191A2}"/>
            </c:ext>
          </c:extLst>
        </c:ser>
        <c:dLbls>
          <c:showLegendKey val="0"/>
          <c:showVal val="0"/>
          <c:showCatName val="0"/>
          <c:showSerName val="0"/>
          <c:showPercent val="0"/>
          <c:showBubbleSize val="0"/>
        </c:dLbls>
        <c:gapWidth val="115"/>
        <c:overlap val="-20"/>
        <c:axId val="1982325296"/>
        <c:axId val="1982325776"/>
      </c:barChart>
      <c:catAx>
        <c:axId val="1982325296"/>
        <c:scaling>
          <c:orientation val="minMax"/>
        </c:scaling>
        <c:delete val="0"/>
        <c:axPos val="l"/>
        <c:title>
          <c:tx>
            <c:rich>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IN">
                    <a:solidFill>
                      <a:srgbClr val="92D050"/>
                    </a:solidFill>
                  </a:rPr>
                  <a:t>CATEGORY</a:t>
                </a:r>
              </a:p>
            </c:rich>
          </c:tx>
          <c:overlay val="0"/>
          <c:spPr>
            <a:noFill/>
            <a:ln>
              <a:noFill/>
            </a:ln>
            <a:effectLst/>
          </c:spPr>
          <c:txPr>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982325776"/>
        <c:crosses val="autoZero"/>
        <c:auto val="1"/>
        <c:lblAlgn val="ctr"/>
        <c:lblOffset val="100"/>
        <c:noMultiLvlLbl val="0"/>
      </c:catAx>
      <c:valAx>
        <c:axId val="1982325776"/>
        <c:scaling>
          <c:orientation val="minMax"/>
        </c:scaling>
        <c:delete val="0"/>
        <c:axPos val="b"/>
        <c:title>
          <c:tx>
            <c:rich>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IN">
                    <a:solidFill>
                      <a:srgbClr val="92D050"/>
                    </a:solidFill>
                  </a:rPr>
                  <a:t>REVENUE</a:t>
                </a:r>
              </a:p>
            </c:rich>
          </c:tx>
          <c:layout>
            <c:manualLayout>
              <c:xMode val="edge"/>
              <c:yMode val="edge"/>
              <c:x val="0.54664050407160636"/>
              <c:y val="0.85640781971219115"/>
            </c:manualLayout>
          </c:layout>
          <c:overlay val="0"/>
          <c:spPr>
            <a:noFill/>
            <a:ln>
              <a:noFill/>
            </a:ln>
            <a:effectLst/>
          </c:spPr>
          <c:txPr>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98232529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2">
        <a:lumMod val="75000"/>
      </a:schemeClr>
    </a:soli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withinLinearReversed" id="21">
  <a:schemeClr val="accent1"/>
</cs:colorStyle>
</file>

<file path=xl/charts/colors9.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0.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2.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1" Type="http://schemas.openxmlformats.org/officeDocument/2006/relationships/chart" Target="../charts/chart6.xml"/></Relationships>
</file>

<file path=xl/drawings/_rels/drawing7.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3</xdr:col>
      <xdr:colOff>411480</xdr:colOff>
      <xdr:row>8</xdr:row>
      <xdr:rowOff>26670</xdr:rowOff>
    </xdr:from>
    <xdr:to>
      <xdr:col>11</xdr:col>
      <xdr:colOff>106680</xdr:colOff>
      <xdr:row>23</xdr:row>
      <xdr:rowOff>26670</xdr:rowOff>
    </xdr:to>
    <xdr:graphicFrame macro="">
      <xdr:nvGraphicFramePr>
        <xdr:cNvPr id="3" name="Chart 2">
          <a:extLst>
            <a:ext uri="{FF2B5EF4-FFF2-40B4-BE49-F238E27FC236}">
              <a16:creationId xmlns:a16="http://schemas.microsoft.com/office/drawing/2014/main" id="{C2DFB349-1A29-7E77-703E-616961AD762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11</xdr:col>
      <xdr:colOff>457200</xdr:colOff>
      <xdr:row>3</xdr:row>
      <xdr:rowOff>167640</xdr:rowOff>
    </xdr:from>
    <xdr:to>
      <xdr:col>14</xdr:col>
      <xdr:colOff>457200</xdr:colOff>
      <xdr:row>30</xdr:row>
      <xdr:rowOff>68580</xdr:rowOff>
    </xdr:to>
    <mc:AlternateContent xmlns:mc="http://schemas.openxmlformats.org/markup-compatibility/2006" xmlns:a14="http://schemas.microsoft.com/office/drawing/2010/main">
      <mc:Choice Requires="a14">
        <xdr:graphicFrame macro="">
          <xdr:nvGraphicFramePr>
            <xdr:cNvPr id="4" name="month">
              <a:extLst>
                <a:ext uri="{FF2B5EF4-FFF2-40B4-BE49-F238E27FC236}">
                  <a16:creationId xmlns:a16="http://schemas.microsoft.com/office/drawing/2014/main" id="{E05798DB-CBA9-389C-9D83-A5B1F95BDF66}"/>
                </a:ext>
              </a:extLst>
            </xdr:cNvPr>
            <xdr:cNvGraphicFramePr/>
          </xdr:nvGraphicFramePr>
          <xdr:xfrm>
            <a:off x="0" y="0"/>
            <a:ext cx="0" cy="0"/>
          </xdr:xfrm>
          <a:graphic>
            <a:graphicData uri="http://schemas.microsoft.com/office/drawing/2010/slicer">
              <sle:slicer xmlns:sle="http://schemas.microsoft.com/office/drawing/2010/slicer" name="month"/>
            </a:graphicData>
          </a:graphic>
        </xdr:graphicFrame>
      </mc:Choice>
      <mc:Fallback xmlns="">
        <xdr:sp macro="" textlink="">
          <xdr:nvSpPr>
            <xdr:cNvPr id="0" name=""/>
            <xdr:cNvSpPr>
              <a:spLocks noTextEdit="1"/>
            </xdr:cNvSpPr>
          </xdr:nvSpPr>
          <xdr:spPr>
            <a:xfrm>
              <a:off x="8290560" y="716280"/>
              <a:ext cx="1828800" cy="48387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3</xdr:col>
      <xdr:colOff>510540</xdr:colOff>
      <xdr:row>4</xdr:row>
      <xdr:rowOff>167640</xdr:rowOff>
    </xdr:from>
    <xdr:to>
      <xdr:col>11</xdr:col>
      <xdr:colOff>205740</xdr:colOff>
      <xdr:row>19</xdr:row>
      <xdr:rowOff>167640</xdr:rowOff>
    </xdr:to>
    <xdr:graphicFrame macro="">
      <xdr:nvGraphicFramePr>
        <xdr:cNvPr id="4" name="Chart 3">
          <a:extLst>
            <a:ext uri="{FF2B5EF4-FFF2-40B4-BE49-F238E27FC236}">
              <a16:creationId xmlns:a16="http://schemas.microsoft.com/office/drawing/2014/main" id="{A16A3630-3AEC-5ED2-3567-6EC20B43A90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38100</xdr:colOff>
      <xdr:row>6</xdr:row>
      <xdr:rowOff>148590</xdr:rowOff>
    </xdr:from>
    <xdr:to>
      <xdr:col>10</xdr:col>
      <xdr:colOff>342900</xdr:colOff>
      <xdr:row>21</xdr:row>
      <xdr:rowOff>148590</xdr:rowOff>
    </xdr:to>
    <xdr:graphicFrame macro="">
      <xdr:nvGraphicFramePr>
        <xdr:cNvPr id="2" name="Chart 1">
          <a:extLst>
            <a:ext uri="{FF2B5EF4-FFF2-40B4-BE49-F238E27FC236}">
              <a16:creationId xmlns:a16="http://schemas.microsoft.com/office/drawing/2014/main" id="{8041F14A-31A7-50F9-8F61-50ADF48B48F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11</xdr:col>
      <xdr:colOff>266700</xdr:colOff>
      <xdr:row>6</xdr:row>
      <xdr:rowOff>91440</xdr:rowOff>
    </xdr:from>
    <xdr:to>
      <xdr:col>14</xdr:col>
      <xdr:colOff>266700</xdr:colOff>
      <xdr:row>19</xdr:row>
      <xdr:rowOff>180975</xdr:rowOff>
    </xdr:to>
    <mc:AlternateContent xmlns:mc="http://schemas.openxmlformats.org/markup-compatibility/2006" xmlns:a14="http://schemas.microsoft.com/office/drawing/2010/main">
      <mc:Choice Requires="a14">
        <xdr:graphicFrame macro="">
          <xdr:nvGraphicFramePr>
            <xdr:cNvPr id="3" name="payment_type">
              <a:extLst>
                <a:ext uri="{FF2B5EF4-FFF2-40B4-BE49-F238E27FC236}">
                  <a16:creationId xmlns:a16="http://schemas.microsoft.com/office/drawing/2014/main" id="{A9FEF061-C67C-21DE-02C5-D852C05E5779}"/>
                </a:ext>
              </a:extLst>
            </xdr:cNvPr>
            <xdr:cNvGraphicFramePr/>
          </xdr:nvGraphicFramePr>
          <xdr:xfrm>
            <a:off x="0" y="0"/>
            <a:ext cx="0" cy="0"/>
          </xdr:xfrm>
          <a:graphic>
            <a:graphicData uri="http://schemas.microsoft.com/office/drawing/2010/slicer">
              <sle:slicer xmlns:sle="http://schemas.microsoft.com/office/drawing/2010/slicer" name="payment_type"/>
            </a:graphicData>
          </a:graphic>
        </xdr:graphicFrame>
      </mc:Choice>
      <mc:Fallback xmlns="">
        <xdr:sp macro="" textlink="">
          <xdr:nvSpPr>
            <xdr:cNvPr id="0" name=""/>
            <xdr:cNvSpPr>
              <a:spLocks noTextEdit="1"/>
            </xdr:cNvSpPr>
          </xdr:nvSpPr>
          <xdr:spPr>
            <a:xfrm>
              <a:off x="8046720" y="118872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xdr:from>
      <xdr:col>2</xdr:col>
      <xdr:colOff>441960</xdr:colOff>
      <xdr:row>9</xdr:row>
      <xdr:rowOff>148590</xdr:rowOff>
    </xdr:from>
    <xdr:to>
      <xdr:col>10</xdr:col>
      <xdr:colOff>137160</xdr:colOff>
      <xdr:row>24</xdr:row>
      <xdr:rowOff>148590</xdr:rowOff>
    </xdr:to>
    <xdr:graphicFrame macro="">
      <xdr:nvGraphicFramePr>
        <xdr:cNvPr id="2" name="Chart 1">
          <a:extLst>
            <a:ext uri="{FF2B5EF4-FFF2-40B4-BE49-F238E27FC236}">
              <a16:creationId xmlns:a16="http://schemas.microsoft.com/office/drawing/2014/main" id="{B170E3DC-3677-8F1A-620C-1BF2879264E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510540</xdr:colOff>
      <xdr:row>7</xdr:row>
      <xdr:rowOff>121920</xdr:rowOff>
    </xdr:from>
    <xdr:to>
      <xdr:col>13</xdr:col>
      <xdr:colOff>510540</xdr:colOff>
      <xdr:row>21</xdr:row>
      <xdr:rowOff>28575</xdr:rowOff>
    </xdr:to>
    <mc:AlternateContent xmlns:mc="http://schemas.openxmlformats.org/markup-compatibility/2006" xmlns:a14="http://schemas.microsoft.com/office/drawing/2010/main">
      <mc:Choice Requires="a14">
        <xdr:graphicFrame macro="">
          <xdr:nvGraphicFramePr>
            <xdr:cNvPr id="3" name="product_category_name">
              <a:extLst>
                <a:ext uri="{FF2B5EF4-FFF2-40B4-BE49-F238E27FC236}">
                  <a16:creationId xmlns:a16="http://schemas.microsoft.com/office/drawing/2014/main" id="{FB420DAB-A388-5402-5167-70F433CC9862}"/>
                </a:ext>
              </a:extLst>
            </xdr:cNvPr>
            <xdr:cNvGraphicFramePr/>
          </xdr:nvGraphicFramePr>
          <xdr:xfrm>
            <a:off x="0" y="0"/>
            <a:ext cx="0" cy="0"/>
          </xdr:xfrm>
          <a:graphic>
            <a:graphicData uri="http://schemas.microsoft.com/office/drawing/2010/slicer">
              <sle:slicer xmlns:sle="http://schemas.microsoft.com/office/drawing/2010/slicer" name="product_category_name"/>
            </a:graphicData>
          </a:graphic>
        </xdr:graphicFrame>
      </mc:Choice>
      <mc:Fallback xmlns="">
        <xdr:sp macro="" textlink="">
          <xdr:nvSpPr>
            <xdr:cNvPr id="0" name=""/>
            <xdr:cNvSpPr>
              <a:spLocks noTextEdit="1"/>
            </xdr:cNvSpPr>
          </xdr:nvSpPr>
          <xdr:spPr>
            <a:xfrm>
              <a:off x="8077200" y="140208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xdr:from>
      <xdr:col>3</xdr:col>
      <xdr:colOff>137160</xdr:colOff>
      <xdr:row>6</xdr:row>
      <xdr:rowOff>148590</xdr:rowOff>
    </xdr:from>
    <xdr:to>
      <xdr:col>10</xdr:col>
      <xdr:colOff>441960</xdr:colOff>
      <xdr:row>21</xdr:row>
      <xdr:rowOff>148590</xdr:rowOff>
    </xdr:to>
    <xdr:graphicFrame macro="">
      <xdr:nvGraphicFramePr>
        <xdr:cNvPr id="2" name="Chart 1">
          <a:extLst>
            <a:ext uri="{FF2B5EF4-FFF2-40B4-BE49-F238E27FC236}">
              <a16:creationId xmlns:a16="http://schemas.microsoft.com/office/drawing/2014/main" id="{A83E0F18-FE4D-700A-485F-CAA2D663570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11</xdr:col>
      <xdr:colOff>274320</xdr:colOff>
      <xdr:row>4</xdr:row>
      <xdr:rowOff>99060</xdr:rowOff>
    </xdr:from>
    <xdr:to>
      <xdr:col>14</xdr:col>
      <xdr:colOff>274320</xdr:colOff>
      <xdr:row>18</xdr:row>
      <xdr:rowOff>5715</xdr:rowOff>
    </xdr:to>
    <mc:AlternateContent xmlns:mc="http://schemas.openxmlformats.org/markup-compatibility/2006" xmlns:a14="http://schemas.microsoft.com/office/drawing/2010/main">
      <mc:Choice Requires="a14">
        <xdr:graphicFrame macro="">
          <xdr:nvGraphicFramePr>
            <xdr:cNvPr id="3" name="customer_state">
              <a:extLst>
                <a:ext uri="{FF2B5EF4-FFF2-40B4-BE49-F238E27FC236}">
                  <a16:creationId xmlns:a16="http://schemas.microsoft.com/office/drawing/2014/main" id="{27D0577D-018C-6A1D-820E-D4F1AEAD5CE6}"/>
                </a:ext>
              </a:extLst>
            </xdr:cNvPr>
            <xdr:cNvGraphicFramePr/>
          </xdr:nvGraphicFramePr>
          <xdr:xfrm>
            <a:off x="0" y="0"/>
            <a:ext cx="0" cy="0"/>
          </xdr:xfrm>
          <a:graphic>
            <a:graphicData uri="http://schemas.microsoft.com/office/drawing/2010/slicer">
              <sle:slicer xmlns:sle="http://schemas.microsoft.com/office/drawing/2010/slicer" name="customer_state"/>
            </a:graphicData>
          </a:graphic>
        </xdr:graphicFrame>
      </mc:Choice>
      <mc:Fallback xmlns="">
        <xdr:sp macro="" textlink="">
          <xdr:nvSpPr>
            <xdr:cNvPr id="0" name=""/>
            <xdr:cNvSpPr>
              <a:spLocks noTextEdit="1"/>
            </xdr:cNvSpPr>
          </xdr:nvSpPr>
          <xdr:spPr>
            <a:xfrm>
              <a:off x="7955280" y="119634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xdr:from>
      <xdr:col>3</xdr:col>
      <xdr:colOff>7620</xdr:colOff>
      <xdr:row>1</xdr:row>
      <xdr:rowOff>19050</xdr:rowOff>
    </xdr:from>
    <xdr:to>
      <xdr:col>10</xdr:col>
      <xdr:colOff>312420</xdr:colOff>
      <xdr:row>16</xdr:row>
      <xdr:rowOff>19050</xdr:rowOff>
    </xdr:to>
    <xdr:graphicFrame macro="">
      <xdr:nvGraphicFramePr>
        <xdr:cNvPr id="2" name="Chart 1">
          <a:extLst>
            <a:ext uri="{FF2B5EF4-FFF2-40B4-BE49-F238E27FC236}">
              <a16:creationId xmlns:a16="http://schemas.microsoft.com/office/drawing/2014/main" id="{4EC2B175-3322-0AE1-6258-FCA14EFD36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13</xdr:col>
      <xdr:colOff>266700</xdr:colOff>
      <xdr:row>25</xdr:row>
      <xdr:rowOff>144780</xdr:rowOff>
    </xdr:from>
    <xdr:to>
      <xdr:col>23</xdr:col>
      <xdr:colOff>137160</xdr:colOff>
      <xdr:row>34</xdr:row>
      <xdr:rowOff>175260</xdr:rowOff>
    </xdr:to>
    <xdr:graphicFrame macro="">
      <xdr:nvGraphicFramePr>
        <xdr:cNvPr id="4" name="Chart 3">
          <a:extLst>
            <a:ext uri="{FF2B5EF4-FFF2-40B4-BE49-F238E27FC236}">
              <a16:creationId xmlns:a16="http://schemas.microsoft.com/office/drawing/2014/main" id="{AAEADCA8-17F1-4801-9ABF-DB5CFAC3AF7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601980</xdr:colOff>
      <xdr:row>1</xdr:row>
      <xdr:rowOff>22860</xdr:rowOff>
    </xdr:from>
    <xdr:to>
      <xdr:col>15</xdr:col>
      <xdr:colOff>266700</xdr:colOff>
      <xdr:row>13</xdr:row>
      <xdr:rowOff>45720</xdr:rowOff>
    </xdr:to>
    <xdr:graphicFrame macro="">
      <xdr:nvGraphicFramePr>
        <xdr:cNvPr id="5" name="Chart 4">
          <a:extLst>
            <a:ext uri="{FF2B5EF4-FFF2-40B4-BE49-F238E27FC236}">
              <a16:creationId xmlns:a16="http://schemas.microsoft.com/office/drawing/2014/main" id="{4C002564-87F2-4983-951C-AFD28615996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594360</xdr:colOff>
      <xdr:row>13</xdr:row>
      <xdr:rowOff>53340</xdr:rowOff>
    </xdr:from>
    <xdr:to>
      <xdr:col>8</xdr:col>
      <xdr:colOff>563880</xdr:colOff>
      <xdr:row>25</xdr:row>
      <xdr:rowOff>129540</xdr:rowOff>
    </xdr:to>
    <xdr:graphicFrame macro="">
      <xdr:nvGraphicFramePr>
        <xdr:cNvPr id="7" name="Chart 6">
          <a:extLst>
            <a:ext uri="{FF2B5EF4-FFF2-40B4-BE49-F238E27FC236}">
              <a16:creationId xmlns:a16="http://schemas.microsoft.com/office/drawing/2014/main" id="{EE5E9899-3F52-4BBB-AFA1-F979E2AD8CB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579120</xdr:colOff>
      <xdr:row>13</xdr:row>
      <xdr:rowOff>53340</xdr:rowOff>
    </xdr:from>
    <xdr:to>
      <xdr:col>16</xdr:col>
      <xdr:colOff>411480</xdr:colOff>
      <xdr:row>25</xdr:row>
      <xdr:rowOff>129540</xdr:rowOff>
    </xdr:to>
    <xdr:graphicFrame macro="">
      <xdr:nvGraphicFramePr>
        <xdr:cNvPr id="8" name="Chart 7">
          <a:extLst>
            <a:ext uri="{FF2B5EF4-FFF2-40B4-BE49-F238E27FC236}">
              <a16:creationId xmlns:a16="http://schemas.microsoft.com/office/drawing/2014/main" id="{DE2F367E-BF6E-449D-A68C-A3FD2C1F0C8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xdr:col>
      <xdr:colOff>15240</xdr:colOff>
      <xdr:row>25</xdr:row>
      <xdr:rowOff>144780</xdr:rowOff>
    </xdr:from>
    <xdr:to>
      <xdr:col>13</xdr:col>
      <xdr:colOff>259080</xdr:colOff>
      <xdr:row>34</xdr:row>
      <xdr:rowOff>121920</xdr:rowOff>
    </xdr:to>
    <xdr:graphicFrame macro="">
      <xdr:nvGraphicFramePr>
        <xdr:cNvPr id="9" name="Chart 8">
          <a:extLst>
            <a:ext uri="{FF2B5EF4-FFF2-40B4-BE49-F238E27FC236}">
              <a16:creationId xmlns:a16="http://schemas.microsoft.com/office/drawing/2014/main" id="{0D30C7A6-F95B-4FB8-87D6-BC9A9947207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0</xdr:col>
      <xdr:colOff>0</xdr:colOff>
      <xdr:row>17</xdr:row>
      <xdr:rowOff>15240</xdr:rowOff>
    </xdr:from>
    <xdr:to>
      <xdr:col>3</xdr:col>
      <xdr:colOff>0</xdr:colOff>
      <xdr:row>25</xdr:row>
      <xdr:rowOff>144780</xdr:rowOff>
    </xdr:to>
    <mc:AlternateContent xmlns:mc="http://schemas.openxmlformats.org/markup-compatibility/2006" xmlns:a14="http://schemas.microsoft.com/office/drawing/2010/main">
      <mc:Choice Requires="a14">
        <xdr:graphicFrame macro="">
          <xdr:nvGraphicFramePr>
            <xdr:cNvPr id="10" name="payment_type 1">
              <a:extLst>
                <a:ext uri="{FF2B5EF4-FFF2-40B4-BE49-F238E27FC236}">
                  <a16:creationId xmlns:a16="http://schemas.microsoft.com/office/drawing/2014/main" id="{59AE16F5-232D-426E-975A-5A062139888E}"/>
                </a:ext>
              </a:extLst>
            </xdr:cNvPr>
            <xdr:cNvGraphicFramePr/>
          </xdr:nvGraphicFramePr>
          <xdr:xfrm>
            <a:off x="0" y="0"/>
            <a:ext cx="0" cy="0"/>
          </xdr:xfrm>
          <a:graphic>
            <a:graphicData uri="http://schemas.microsoft.com/office/drawing/2010/slicer">
              <sle:slicer xmlns:sle="http://schemas.microsoft.com/office/drawing/2010/slicer" name="payment_type 1"/>
            </a:graphicData>
          </a:graphic>
        </xdr:graphicFrame>
      </mc:Choice>
      <mc:Fallback xmlns="">
        <xdr:sp macro="" textlink="">
          <xdr:nvSpPr>
            <xdr:cNvPr id="0" name=""/>
            <xdr:cNvSpPr>
              <a:spLocks noTextEdit="1"/>
            </xdr:cNvSpPr>
          </xdr:nvSpPr>
          <xdr:spPr>
            <a:xfrm>
              <a:off x="0" y="3307080"/>
              <a:ext cx="1828800" cy="159258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9</xdr:row>
      <xdr:rowOff>91440</xdr:rowOff>
    </xdr:from>
    <xdr:to>
      <xdr:col>3</xdr:col>
      <xdr:colOff>0</xdr:colOff>
      <xdr:row>17</xdr:row>
      <xdr:rowOff>7620</xdr:rowOff>
    </xdr:to>
    <mc:AlternateContent xmlns:mc="http://schemas.openxmlformats.org/markup-compatibility/2006" xmlns:a14="http://schemas.microsoft.com/office/drawing/2010/main">
      <mc:Choice Requires="a14">
        <xdr:graphicFrame macro="">
          <xdr:nvGraphicFramePr>
            <xdr:cNvPr id="11" name="month 1">
              <a:extLst>
                <a:ext uri="{FF2B5EF4-FFF2-40B4-BE49-F238E27FC236}">
                  <a16:creationId xmlns:a16="http://schemas.microsoft.com/office/drawing/2014/main" id="{F5D28810-C094-4E73-AB6E-F62F2880C256}"/>
                </a:ext>
              </a:extLst>
            </xdr:cNvPr>
            <xdr:cNvGraphicFramePr/>
          </xdr:nvGraphicFramePr>
          <xdr:xfrm>
            <a:off x="0" y="0"/>
            <a:ext cx="0" cy="0"/>
          </xdr:xfrm>
          <a:graphic>
            <a:graphicData uri="http://schemas.microsoft.com/office/drawing/2010/slicer">
              <sle:slicer xmlns:sle="http://schemas.microsoft.com/office/drawing/2010/slicer" name="month 1"/>
            </a:graphicData>
          </a:graphic>
        </xdr:graphicFrame>
      </mc:Choice>
      <mc:Fallback xmlns="">
        <xdr:sp macro="" textlink="">
          <xdr:nvSpPr>
            <xdr:cNvPr id="0" name=""/>
            <xdr:cNvSpPr>
              <a:spLocks noTextEdit="1"/>
            </xdr:cNvSpPr>
          </xdr:nvSpPr>
          <xdr:spPr>
            <a:xfrm>
              <a:off x="0" y="1905000"/>
              <a:ext cx="1828800" cy="139446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7620</xdr:colOff>
      <xdr:row>1</xdr:row>
      <xdr:rowOff>1</xdr:rowOff>
    </xdr:from>
    <xdr:to>
      <xdr:col>3</xdr:col>
      <xdr:colOff>0</xdr:colOff>
      <xdr:row>9</xdr:row>
      <xdr:rowOff>83820</xdr:rowOff>
    </xdr:to>
    <mc:AlternateContent xmlns:mc="http://schemas.openxmlformats.org/markup-compatibility/2006" xmlns:a14="http://schemas.microsoft.com/office/drawing/2010/main">
      <mc:Choice Requires="a14">
        <xdr:graphicFrame macro="">
          <xdr:nvGraphicFramePr>
            <xdr:cNvPr id="12" name="customer_state 1">
              <a:extLst>
                <a:ext uri="{FF2B5EF4-FFF2-40B4-BE49-F238E27FC236}">
                  <a16:creationId xmlns:a16="http://schemas.microsoft.com/office/drawing/2014/main" id="{491F11C7-1F51-42B0-8F0D-F2831C16EB6B}"/>
                </a:ext>
              </a:extLst>
            </xdr:cNvPr>
            <xdr:cNvGraphicFramePr/>
          </xdr:nvGraphicFramePr>
          <xdr:xfrm>
            <a:off x="0" y="0"/>
            <a:ext cx="0" cy="0"/>
          </xdr:xfrm>
          <a:graphic>
            <a:graphicData uri="http://schemas.microsoft.com/office/drawing/2010/slicer">
              <sle:slicer xmlns:sle="http://schemas.microsoft.com/office/drawing/2010/slicer" name="customer_state 1"/>
            </a:graphicData>
          </a:graphic>
        </xdr:graphicFrame>
      </mc:Choice>
      <mc:Fallback xmlns="">
        <xdr:sp macro="" textlink="">
          <xdr:nvSpPr>
            <xdr:cNvPr id="0" name=""/>
            <xdr:cNvSpPr>
              <a:spLocks noTextEdit="1"/>
            </xdr:cNvSpPr>
          </xdr:nvSpPr>
          <xdr:spPr>
            <a:xfrm>
              <a:off x="7620" y="365761"/>
              <a:ext cx="1821180" cy="154685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15</xdr:col>
      <xdr:colOff>274320</xdr:colOff>
      <xdr:row>1</xdr:row>
      <xdr:rowOff>22860</xdr:rowOff>
    </xdr:from>
    <xdr:to>
      <xdr:col>23</xdr:col>
      <xdr:colOff>152400</xdr:colOff>
      <xdr:row>13</xdr:row>
      <xdr:rowOff>38100</xdr:rowOff>
    </xdr:to>
    <xdr:graphicFrame macro="">
      <xdr:nvGraphicFramePr>
        <xdr:cNvPr id="2" name="Chart 1">
          <a:extLst>
            <a:ext uri="{FF2B5EF4-FFF2-40B4-BE49-F238E27FC236}">
              <a16:creationId xmlns:a16="http://schemas.microsoft.com/office/drawing/2014/main" id="{1E217D92-9880-40AB-AB62-79897B78AD8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0</xdr:col>
      <xdr:colOff>0</xdr:colOff>
      <xdr:row>25</xdr:row>
      <xdr:rowOff>152400</xdr:rowOff>
    </xdr:from>
    <xdr:to>
      <xdr:col>3</xdr:col>
      <xdr:colOff>0</xdr:colOff>
      <xdr:row>33</xdr:row>
      <xdr:rowOff>175260</xdr:rowOff>
    </xdr:to>
    <mc:AlternateContent xmlns:mc="http://schemas.openxmlformats.org/markup-compatibility/2006">
      <mc:Choice xmlns:a14="http://schemas.microsoft.com/office/drawing/2010/main" Requires="a14">
        <xdr:graphicFrame macro="">
          <xdr:nvGraphicFramePr>
            <xdr:cNvPr id="6" name="product_category_name 1">
              <a:extLst>
                <a:ext uri="{FF2B5EF4-FFF2-40B4-BE49-F238E27FC236}">
                  <a16:creationId xmlns:a16="http://schemas.microsoft.com/office/drawing/2014/main" id="{388C5C99-53FE-4053-B789-4D6EAA666C00}"/>
                </a:ext>
              </a:extLst>
            </xdr:cNvPr>
            <xdr:cNvGraphicFramePr/>
          </xdr:nvGraphicFramePr>
          <xdr:xfrm>
            <a:off x="0" y="0"/>
            <a:ext cx="0" cy="0"/>
          </xdr:xfrm>
          <a:graphic>
            <a:graphicData uri="http://schemas.microsoft.com/office/drawing/2010/slicer">
              <sle:slicer xmlns:sle="http://schemas.microsoft.com/office/drawing/2010/slicer" name="product_category_name 1"/>
            </a:graphicData>
          </a:graphic>
        </xdr:graphicFrame>
      </mc:Choice>
      <mc:Fallback>
        <xdr:sp macro="" textlink="">
          <xdr:nvSpPr>
            <xdr:cNvPr id="0" name=""/>
            <xdr:cNvSpPr>
              <a:spLocks noTextEdit="1"/>
            </xdr:cNvSpPr>
          </xdr:nvSpPr>
          <xdr:spPr>
            <a:xfrm>
              <a:off x="0" y="4907280"/>
              <a:ext cx="1828800" cy="14859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7620</xdr:colOff>
      <xdr:row>3</xdr:row>
      <xdr:rowOff>45720</xdr:rowOff>
    </xdr:from>
    <xdr:to>
      <xdr:col>5</xdr:col>
      <xdr:colOff>594360</xdr:colOff>
      <xdr:row>7</xdr:row>
      <xdr:rowOff>22860</xdr:rowOff>
    </xdr:to>
    <xdr:sp macro="" textlink="">
      <xdr:nvSpPr>
        <xdr:cNvPr id="13" name="TextBox 12">
          <a:extLst>
            <a:ext uri="{FF2B5EF4-FFF2-40B4-BE49-F238E27FC236}">
              <a16:creationId xmlns:a16="http://schemas.microsoft.com/office/drawing/2014/main" id="{FB858788-597C-DFCE-07AA-F1FA92B1F341}"/>
            </a:ext>
          </a:extLst>
        </xdr:cNvPr>
        <xdr:cNvSpPr txBox="1"/>
      </xdr:nvSpPr>
      <xdr:spPr>
        <a:xfrm>
          <a:off x="1836420" y="777240"/>
          <a:ext cx="1805940" cy="708660"/>
        </a:xfrm>
        <a:prstGeom prst="rect">
          <a:avLst/>
        </a:prstGeom>
        <a:solidFill>
          <a:schemeClr val="tx2">
            <a:lumMod val="5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2400" b="1">
              <a:solidFill>
                <a:schemeClr val="bg1"/>
              </a:solidFill>
            </a:rPr>
            <a:t>₹ 14M</a:t>
          </a:r>
        </a:p>
      </xdr:txBody>
    </xdr:sp>
    <xdr:clientData/>
  </xdr:twoCellAnchor>
  <xdr:oneCellAnchor>
    <xdr:from>
      <xdr:col>3</xdr:col>
      <xdr:colOff>0</xdr:colOff>
      <xdr:row>9</xdr:row>
      <xdr:rowOff>152400</xdr:rowOff>
    </xdr:from>
    <xdr:ext cx="1813560" cy="624840"/>
    <xdr:sp macro="" textlink="">
      <xdr:nvSpPr>
        <xdr:cNvPr id="14" name="TextBox 13">
          <a:extLst>
            <a:ext uri="{FF2B5EF4-FFF2-40B4-BE49-F238E27FC236}">
              <a16:creationId xmlns:a16="http://schemas.microsoft.com/office/drawing/2014/main" id="{9F30916A-DD63-76F0-B227-8C9099394D1C}"/>
            </a:ext>
          </a:extLst>
        </xdr:cNvPr>
        <xdr:cNvSpPr txBox="1"/>
      </xdr:nvSpPr>
      <xdr:spPr>
        <a:xfrm>
          <a:off x="1828800" y="1981200"/>
          <a:ext cx="1813560" cy="624840"/>
        </a:xfrm>
        <a:prstGeom prst="rect">
          <a:avLst/>
        </a:prstGeom>
        <a:solidFill>
          <a:schemeClr val="tx2">
            <a:lumMod val="5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r>
            <a:rPr lang="en-US" sz="2400" b="1">
              <a:solidFill>
                <a:schemeClr val="bg1"/>
              </a:solidFill>
            </a:rPr>
            <a:t>99k</a:t>
          </a:r>
        </a:p>
      </xdr:txBody>
    </xdr:sp>
    <xdr:clientData/>
  </xdr:oneCellAnchor>
  <xdr:oneCellAnchor>
    <xdr:from>
      <xdr:col>3</xdr:col>
      <xdr:colOff>457200</xdr:colOff>
      <xdr:row>2</xdr:row>
      <xdr:rowOff>22860</xdr:rowOff>
    </xdr:from>
    <xdr:ext cx="184731" cy="264560"/>
    <xdr:sp macro="" textlink="">
      <xdr:nvSpPr>
        <xdr:cNvPr id="16" name="TextBox 15">
          <a:extLst>
            <a:ext uri="{FF2B5EF4-FFF2-40B4-BE49-F238E27FC236}">
              <a16:creationId xmlns:a16="http://schemas.microsoft.com/office/drawing/2014/main" id="{B3933C95-0062-BB6E-8605-9AE1D74BDA7C}"/>
            </a:ext>
          </a:extLst>
        </xdr:cNvPr>
        <xdr:cNvSpPr txBox="1"/>
      </xdr:nvSpPr>
      <xdr:spPr>
        <a:xfrm>
          <a:off x="2286000" y="571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IN" sz="1100"/>
        </a:p>
      </xdr:txBody>
    </xdr:sp>
    <xdr:clientData/>
  </xdr:oneCellAnchor>
  <xdr:oneCellAnchor>
    <xdr:from>
      <xdr:col>3</xdr:col>
      <xdr:colOff>0</xdr:colOff>
      <xdr:row>7</xdr:row>
      <xdr:rowOff>53340</xdr:rowOff>
    </xdr:from>
    <xdr:ext cx="1813560" cy="472440"/>
    <xdr:sp macro="" textlink="">
      <xdr:nvSpPr>
        <xdr:cNvPr id="17" name="TextBox 16">
          <a:extLst>
            <a:ext uri="{FF2B5EF4-FFF2-40B4-BE49-F238E27FC236}">
              <a16:creationId xmlns:a16="http://schemas.microsoft.com/office/drawing/2014/main" id="{EA33B2FA-7A89-E128-082C-345AF39F9A53}"/>
            </a:ext>
          </a:extLst>
        </xdr:cNvPr>
        <xdr:cNvSpPr txBox="1"/>
      </xdr:nvSpPr>
      <xdr:spPr>
        <a:xfrm>
          <a:off x="1828800" y="1516380"/>
          <a:ext cx="1813560" cy="472440"/>
        </a:xfrm>
        <a:prstGeom prst="rect">
          <a:avLst/>
        </a:prstGeom>
        <a:solidFill>
          <a:schemeClr val="tx2">
            <a:lumMod val="5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r>
            <a:rPr lang="en-IN" sz="1600" b="1">
              <a:solidFill>
                <a:schemeClr val="bg1"/>
              </a:solidFill>
            </a:rPr>
            <a:t>TOTAL ORDERS</a:t>
          </a:r>
        </a:p>
      </xdr:txBody>
    </xdr:sp>
    <xdr:clientData/>
  </xdr:oneCellAnchor>
  <xdr:oneCellAnchor>
    <xdr:from>
      <xdr:col>3</xdr:col>
      <xdr:colOff>0</xdr:colOff>
      <xdr:row>1</xdr:row>
      <xdr:rowOff>0</xdr:rowOff>
    </xdr:from>
    <xdr:ext cx="1805940" cy="464820"/>
    <xdr:sp macro="" textlink="">
      <xdr:nvSpPr>
        <xdr:cNvPr id="18" name="TextBox 17">
          <a:extLst>
            <a:ext uri="{FF2B5EF4-FFF2-40B4-BE49-F238E27FC236}">
              <a16:creationId xmlns:a16="http://schemas.microsoft.com/office/drawing/2014/main" id="{2CBF9F4C-DDA5-4FCA-BE43-8D6733A66A69}"/>
            </a:ext>
          </a:extLst>
        </xdr:cNvPr>
        <xdr:cNvSpPr txBox="1"/>
      </xdr:nvSpPr>
      <xdr:spPr>
        <a:xfrm>
          <a:off x="1828800" y="365760"/>
          <a:ext cx="1805940" cy="464820"/>
        </a:xfrm>
        <a:prstGeom prst="rect">
          <a:avLst/>
        </a:prstGeom>
        <a:solidFill>
          <a:schemeClr val="tx2">
            <a:lumMod val="5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r>
            <a:rPr lang="en-IN" sz="1600" b="1">
              <a:solidFill>
                <a:schemeClr val="bg1"/>
              </a:solidFill>
            </a:rPr>
            <a:t>TOTAL REVENUE</a:t>
          </a:r>
        </a:p>
      </xdr:txBody>
    </xdr:sp>
    <xdr:clientData/>
  </xdr:oneCellAnchor>
  <xdr:twoCellAnchor>
    <xdr:from>
      <xdr:col>16</xdr:col>
      <xdr:colOff>426720</xdr:colOff>
      <xdr:row>13</xdr:row>
      <xdr:rowOff>53340</xdr:rowOff>
    </xdr:from>
    <xdr:to>
      <xdr:col>23</xdr:col>
      <xdr:colOff>121920</xdr:colOff>
      <xdr:row>25</xdr:row>
      <xdr:rowOff>114300</xdr:rowOff>
    </xdr:to>
    <xdr:sp macro="" textlink="">
      <xdr:nvSpPr>
        <xdr:cNvPr id="19" name="TextBox 18">
          <a:extLst>
            <a:ext uri="{FF2B5EF4-FFF2-40B4-BE49-F238E27FC236}">
              <a16:creationId xmlns:a16="http://schemas.microsoft.com/office/drawing/2014/main" id="{03733439-E36E-8850-8487-29BD2B527EFF}"/>
            </a:ext>
          </a:extLst>
        </xdr:cNvPr>
        <xdr:cNvSpPr txBox="1"/>
      </xdr:nvSpPr>
      <xdr:spPr>
        <a:xfrm>
          <a:off x="10180320" y="2613660"/>
          <a:ext cx="3962400" cy="2255520"/>
        </a:xfrm>
        <a:prstGeom prst="rect">
          <a:avLst/>
        </a:prstGeom>
        <a:solidFill>
          <a:schemeClr val="tx2">
            <a:lumMod val="7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b="1">
              <a:solidFill>
                <a:schemeClr val="bg1"/>
              </a:solidFill>
            </a:rPr>
            <a:t>KEY INSIGHTS</a:t>
          </a:r>
          <a:endParaRPr lang="en-IN" sz="1100">
            <a:solidFill>
              <a:schemeClr val="bg1"/>
            </a:solidFill>
          </a:endParaRPr>
        </a:p>
        <a:p>
          <a:pPr lvl="0" algn="l"/>
          <a:endParaRPr lang="en-IN" sz="1100">
            <a:solidFill>
              <a:schemeClr val="bg1"/>
            </a:solidFill>
          </a:endParaRPr>
        </a:p>
        <a:p>
          <a:pPr lvl="0" algn="l"/>
          <a:r>
            <a:rPr lang="en-IN" sz="1200">
              <a:solidFill>
                <a:schemeClr val="bg1"/>
              </a:solidFill>
            </a:rPr>
            <a:t>• Total revenue reached ₹14M with ~99K orders, indicating strong business scale  </a:t>
          </a:r>
        </a:p>
        <a:p>
          <a:pPr lvl="0" algn="l"/>
          <a:r>
            <a:rPr lang="en-IN" sz="1200">
              <a:solidFill>
                <a:schemeClr val="bg1"/>
              </a:solidFill>
            </a:rPr>
            <a:t>• São Paulo is the highest revenue-generating state  </a:t>
          </a:r>
        </a:p>
        <a:p>
          <a:pPr lvl="0" algn="l"/>
          <a:r>
            <a:rPr lang="en-IN" sz="1200">
              <a:solidFill>
                <a:schemeClr val="bg1"/>
              </a:solidFill>
            </a:rPr>
            <a:t>• Revenue is concentrated in a few top-performing categories  </a:t>
          </a:r>
        </a:p>
        <a:p>
          <a:pPr lvl="0" algn="l"/>
          <a:r>
            <a:rPr lang="en-IN" sz="1200">
              <a:solidFill>
                <a:schemeClr val="bg1"/>
              </a:solidFill>
            </a:rPr>
            <a:t>• Credit card is the most preferred payment method (~74%)  </a:t>
          </a:r>
        </a:p>
        <a:p>
          <a:pPr lvl="0" algn="l"/>
          <a:r>
            <a:rPr lang="en-IN" sz="1200">
              <a:solidFill>
                <a:schemeClr val="bg1"/>
              </a:solidFill>
            </a:rPr>
            <a:t>• Revenue shows a consistent upward trend over time  </a:t>
          </a:r>
        </a:p>
        <a:p>
          <a:pPr lvl="0" algn="l"/>
          <a:r>
            <a:rPr lang="en-IN" sz="1200">
              <a:solidFill>
                <a:schemeClr val="bg1"/>
              </a:solidFill>
            </a:rPr>
            <a:t>• Majority of orders are successfully delivered with minimal cancellations  </a:t>
          </a:r>
        </a:p>
      </xdr:txBody>
    </xdr:sp>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ay Shree" refreshedDate="46101.512905439813" createdVersion="8" refreshedVersion="8" minRefreshableVersion="3" recordCount="5" xr:uid="{80BD9F7D-1484-4073-AC61-DF340C66C275}">
  <cacheSource type="worksheet">
    <worksheetSource name="payment_distribution"/>
  </cacheSource>
  <cacheFields count="2">
    <cacheField name="payment_type" numFmtId="0">
      <sharedItems count="5">
        <s v="credit_card"/>
        <s v="boleto"/>
        <s v="voucher"/>
        <s v="debit_card"/>
        <s v="not_defined"/>
      </sharedItems>
    </cacheField>
    <cacheField name="total_payments" numFmtId="0">
      <sharedItems containsSemiMixedTypes="0" containsString="0" containsNumber="1" containsInteger="1" minValue="3" maxValue="76795" count="5">
        <n v="76795"/>
        <n v="19784"/>
        <n v="5775"/>
        <n v="1529"/>
        <n v="3"/>
      </sharedItems>
    </cacheField>
  </cacheFields>
  <extLst>
    <ext xmlns:x14="http://schemas.microsoft.com/office/spreadsheetml/2009/9/main" uri="{725AE2AE-9491-48be-B2B4-4EB974FC3084}">
      <x14:pivotCacheDefinition pivotCacheId="2015340678"/>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ay Shree" refreshedDate="46101.556857291667" createdVersion="8" refreshedVersion="8" minRefreshableVersion="3" recordCount="10" xr:uid="{7E28087D-4B99-4E12-ADEA-79ED5EF119AD}">
  <cacheSource type="worksheet">
    <worksheetSource name="top_cities_customers"/>
  </cacheSource>
  <cacheFields count="2">
    <cacheField name="customer_city" numFmtId="0">
      <sharedItems count="10">
        <s v="sao paulo"/>
        <s v="rio de janeiro"/>
        <s v="belo horizonte"/>
        <s v="brasilia"/>
        <s v="curitiba"/>
        <s v="campinas"/>
        <s v="porto alegre"/>
        <s v="salvador"/>
        <s v="guarulhos"/>
        <s v="sao bernardo do campo"/>
      </sharedItems>
    </cacheField>
    <cacheField name="total_customers" numFmtId="0">
      <sharedItems containsSemiMixedTypes="0" containsString="0" containsNumber="1" containsInteger="1" minValue="938" maxValue="1554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ay Shree" refreshedDate="46101.570804976851" createdVersion="8" refreshedVersion="8" minRefreshableVersion="3" recordCount="8" xr:uid="{5D854A7A-30AD-4184-8116-C56376A5AA17}">
  <cacheSource type="worksheet">
    <worksheetSource name="orders_by_status"/>
  </cacheSource>
  <cacheFields count="2">
    <cacheField name="order_status" numFmtId="0">
      <sharedItems count="8">
        <s v="delivered"/>
        <s v="shipped"/>
        <s v="canceled"/>
        <s v="unavailable"/>
        <s v="invoiced"/>
        <s v="processing"/>
        <s v="created"/>
        <s v="approved"/>
      </sharedItems>
    </cacheField>
    <cacheField name="total_orders" numFmtId="0">
      <sharedItems containsSemiMixedTypes="0" containsString="0" containsNumber="1" containsInteger="1" minValue="2" maxValue="96478"/>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ay Shree" refreshedDate="46102.337333101852" createdVersion="8" refreshedVersion="8" minRefreshableVersion="3" recordCount="5" xr:uid="{A9379382-34CB-47E1-AE65-67C9C81D3094}">
  <cacheSource type="worksheet">
    <worksheetSource name="revenue_by_category__3"/>
  </cacheSource>
  <cacheFields count="2">
    <cacheField name="product_category_name" numFmtId="0">
      <sharedItems count="5">
        <s v="cama_mesa_banho"/>
        <s v="esporte_lazer"/>
        <s v="moveis_decoracao"/>
        <s v="beleza_saude"/>
        <s v="utilidades_domesticas"/>
      </sharedItems>
    </cacheField>
    <cacheField name="total_products" numFmtId="0">
      <sharedItems containsSemiMixedTypes="0" containsString="0" containsNumber="1" containsInteger="1" minValue="2335" maxValue="3029"/>
    </cacheField>
  </cacheFields>
  <extLst>
    <ext xmlns:x14="http://schemas.microsoft.com/office/spreadsheetml/2009/9/main" uri="{725AE2AE-9491-48be-B2B4-4EB974FC3084}">
      <x14:pivotCacheDefinition pivotCacheId="1389305213"/>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ay Shree" refreshedDate="46102.578025578703" createdVersion="8" refreshedVersion="8" minRefreshableVersion="3" recordCount="24" xr:uid="{67AF55B3-40F3-4223-B8E0-BCFD168A90F3}">
  <cacheSource type="worksheet">
    <worksheetSource name="monthly_revenue"/>
  </cacheSource>
  <cacheFields count="5">
    <cacheField name="month" numFmtId="164">
      <sharedItems containsSemiMixedTypes="0" containsNonDate="0" containsDate="1" containsString="0" minDate="2016-09-01T00:00:00" maxDate="2018-09-02T00:00:00" count="24">
        <d v="2016-09-01T00:00:00"/>
        <d v="2016-10-01T00:00:00"/>
        <d v="2016-12-01T00:00:00"/>
        <d v="2017-01-01T00:00:00"/>
        <d v="2017-02-01T00:00:00"/>
        <d v="2017-03-01T00:00:00"/>
        <d v="2017-04-01T00:00:00"/>
        <d v="2017-05-01T00:00:00"/>
        <d v="2017-06-01T00:00:00"/>
        <d v="2017-07-01T00:00:00"/>
        <d v="2017-08-01T00:00:00"/>
        <d v="2017-09-01T00:00:00"/>
        <d v="2017-10-01T00:00:00"/>
        <d v="2017-11-01T00:00:00"/>
        <d v="2017-12-01T00:00:00"/>
        <d v="2018-01-01T00:00:00"/>
        <d v="2018-02-01T00:00:00"/>
        <d v="2018-03-01T00:00:00"/>
        <d v="2018-04-01T00:00:00"/>
        <d v="2018-05-01T00:00:00"/>
        <d v="2018-06-01T00:00:00"/>
        <d v="2018-07-01T00:00:00"/>
        <d v="2018-08-01T00:00:00"/>
        <d v="2018-09-01T00:00:00"/>
      </sharedItems>
      <fieldGroup par="4"/>
    </cacheField>
    <cacheField name="monthly_revenue" numFmtId="0">
      <sharedItems containsSemiMixedTypes="0" containsString="0" containsNumber="1" minValue="10.9" maxValue="1010271.37"/>
    </cacheField>
    <cacheField name="Months (month)" numFmtId="0" databaseField="0">
      <fieldGroup base="0">
        <rangePr groupBy="months" startDate="2016-09-01T00:00:00" endDate="2018-09-02T00:00:00"/>
        <groupItems count="14">
          <s v="&lt;01-09-2016"/>
          <s v="Jan"/>
          <s v="Feb"/>
          <s v="Mar"/>
          <s v="Apr"/>
          <s v="May"/>
          <s v="Jun"/>
          <s v="Jul"/>
          <s v="Aug"/>
          <s v="Sep"/>
          <s v="Oct"/>
          <s v="Nov"/>
          <s v="Dec"/>
          <s v="&gt;02-09-2018"/>
        </groupItems>
      </fieldGroup>
    </cacheField>
    <cacheField name="Quarters (month)" numFmtId="0" databaseField="0">
      <fieldGroup base="0">
        <rangePr groupBy="quarters" startDate="2016-09-01T00:00:00" endDate="2018-09-02T00:00:00"/>
        <groupItems count="6">
          <s v="&lt;01-09-2016"/>
          <s v="Qtr1"/>
          <s v="Qtr2"/>
          <s v="Qtr3"/>
          <s v="Qtr4"/>
          <s v="&gt;02-09-2018"/>
        </groupItems>
      </fieldGroup>
    </cacheField>
    <cacheField name="Years (month)" numFmtId="0" databaseField="0">
      <fieldGroup base="0">
        <rangePr groupBy="years" startDate="2016-09-01T00:00:00" endDate="2018-09-02T00:00:00"/>
        <groupItems count="5">
          <s v="&lt;01-09-2016"/>
          <s v="2016"/>
          <s v="2017"/>
          <s v="2018"/>
          <s v="&gt;02-09-2018"/>
        </groupItems>
      </fieldGroup>
    </cacheField>
  </cacheFields>
  <extLst>
    <ext xmlns:x14="http://schemas.microsoft.com/office/spreadsheetml/2009/9/main" uri="{725AE2AE-9491-48be-B2B4-4EB974FC3084}">
      <x14:pivotCacheDefinition pivotCacheId="895786449"/>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ay Shree" refreshedDate="46102.637825115744" createdVersion="8" refreshedVersion="8" minRefreshableVersion="3" recordCount="27" xr:uid="{F26B09FE-3E49-4DF7-B335-483AA837E0F6}">
  <cacheSource type="worksheet">
    <worksheetSource name="revenue_by_state"/>
  </cacheSource>
  <cacheFields count="2">
    <cacheField name="customer_state" numFmtId="0">
      <sharedItems count="27">
        <s v="SP"/>
        <s v="RJ"/>
        <s v="MG"/>
        <s v="RS"/>
        <s v="PR"/>
        <s v="SC"/>
        <s v="BA"/>
        <s v="DF"/>
        <s v="GO"/>
        <s v="ES"/>
        <s v="PE"/>
        <s v="CE"/>
        <s v="PA"/>
        <s v="MT"/>
        <s v="MA"/>
        <s v="MS"/>
        <s v="PB"/>
        <s v="PI"/>
        <s v="RN"/>
        <s v="AL"/>
        <s v="SE"/>
        <s v="TO"/>
        <s v="RO"/>
        <s v="AM"/>
        <s v="AC"/>
        <s v="AP"/>
        <s v="RR"/>
      </sharedItems>
    </cacheField>
    <cacheField name="total_revenue" numFmtId="0">
      <sharedItems containsSemiMixedTypes="0" containsString="0" containsNumber="1" minValue="7829.43" maxValue="5202955.05"/>
    </cacheField>
  </cacheFields>
  <extLst>
    <ext xmlns:x14="http://schemas.microsoft.com/office/spreadsheetml/2009/9/main" uri="{725AE2AE-9491-48be-B2B4-4EB974FC3084}">
      <x14:pivotCacheDefinition pivotCacheId="201708086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
  <r>
    <x v="0"/>
    <x v="0"/>
  </r>
  <r>
    <x v="1"/>
    <x v="1"/>
  </r>
  <r>
    <x v="2"/>
    <x v="2"/>
  </r>
  <r>
    <x v="3"/>
    <x v="3"/>
  </r>
  <r>
    <x v="4"/>
    <x v="4"/>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
  <r>
    <x v="0"/>
    <n v="15540"/>
  </r>
  <r>
    <x v="1"/>
    <n v="6882"/>
  </r>
  <r>
    <x v="2"/>
    <n v="2773"/>
  </r>
  <r>
    <x v="3"/>
    <n v="2131"/>
  </r>
  <r>
    <x v="4"/>
    <n v="1521"/>
  </r>
  <r>
    <x v="5"/>
    <n v="1444"/>
  </r>
  <r>
    <x v="6"/>
    <n v="1379"/>
  </r>
  <r>
    <x v="7"/>
    <n v="1245"/>
  </r>
  <r>
    <x v="8"/>
    <n v="1189"/>
  </r>
  <r>
    <x v="9"/>
    <n v="938"/>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
  <r>
    <x v="0"/>
    <n v="96478"/>
  </r>
  <r>
    <x v="1"/>
    <n v="1107"/>
  </r>
  <r>
    <x v="2"/>
    <n v="625"/>
  </r>
  <r>
    <x v="3"/>
    <n v="609"/>
  </r>
  <r>
    <x v="4"/>
    <n v="314"/>
  </r>
  <r>
    <x v="5"/>
    <n v="301"/>
  </r>
  <r>
    <x v="6"/>
    <n v="5"/>
  </r>
  <r>
    <x v="7"/>
    <n v="2"/>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
  <r>
    <x v="0"/>
    <n v="3029"/>
  </r>
  <r>
    <x v="1"/>
    <n v="2867"/>
  </r>
  <r>
    <x v="2"/>
    <n v="2657"/>
  </r>
  <r>
    <x v="3"/>
    <n v="2444"/>
  </r>
  <r>
    <x v="4"/>
    <n v="2335"/>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
  <r>
    <x v="0"/>
    <n v="267.36"/>
  </r>
  <r>
    <x v="1"/>
    <n v="49507.66"/>
  </r>
  <r>
    <x v="2"/>
    <n v="10.9"/>
  </r>
  <r>
    <x v="3"/>
    <n v="120312.87"/>
  </r>
  <r>
    <x v="4"/>
    <n v="247303.02"/>
  </r>
  <r>
    <x v="5"/>
    <n v="374344.3"/>
  </r>
  <r>
    <x v="6"/>
    <n v="359927.23"/>
  </r>
  <r>
    <x v="7"/>
    <n v="506071.14"/>
  </r>
  <r>
    <x v="8"/>
    <n v="433038.6"/>
  </r>
  <r>
    <x v="9"/>
    <n v="498031.48"/>
  </r>
  <r>
    <x v="10"/>
    <n v="573971.68000000005"/>
  </r>
  <r>
    <x v="11"/>
    <n v="624401.68999999994"/>
  </r>
  <r>
    <x v="12"/>
    <n v="664219.43000000005"/>
  </r>
  <r>
    <x v="13"/>
    <n v="1010271.37"/>
  </r>
  <r>
    <x v="14"/>
    <n v="743914.17"/>
  </r>
  <r>
    <x v="15"/>
    <n v="950030.36"/>
  </r>
  <r>
    <x v="16"/>
    <n v="844178.71"/>
  </r>
  <r>
    <x v="17"/>
    <n v="983213.44"/>
  </r>
  <r>
    <x v="18"/>
    <n v="996647.75"/>
  </r>
  <r>
    <x v="19"/>
    <n v="996517.68"/>
  </r>
  <r>
    <x v="20"/>
    <n v="865124.31"/>
  </r>
  <r>
    <x v="21"/>
    <n v="895507.22"/>
  </r>
  <r>
    <x v="22"/>
    <n v="854686.33"/>
  </r>
  <r>
    <x v="23"/>
    <n v="145"/>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
  <r>
    <x v="0"/>
    <n v="5202955.05"/>
  </r>
  <r>
    <x v="1"/>
    <n v="1824092.67"/>
  </r>
  <r>
    <x v="2"/>
    <n v="1585308.03"/>
  </r>
  <r>
    <x v="3"/>
    <n v="750304.02"/>
  </r>
  <r>
    <x v="4"/>
    <n v="683083.76"/>
  </r>
  <r>
    <x v="5"/>
    <n v="520553.34"/>
  </r>
  <r>
    <x v="6"/>
    <n v="511349.99"/>
  </r>
  <r>
    <x v="7"/>
    <n v="302603.94"/>
  </r>
  <r>
    <x v="8"/>
    <n v="294591.95"/>
  </r>
  <r>
    <x v="9"/>
    <n v="275037.31"/>
  </r>
  <r>
    <x v="10"/>
    <n v="262788.03000000003"/>
  </r>
  <r>
    <x v="11"/>
    <n v="227254.71"/>
  </r>
  <r>
    <x v="12"/>
    <n v="178947.81"/>
  </r>
  <r>
    <x v="13"/>
    <n v="156453.53"/>
  </r>
  <r>
    <x v="14"/>
    <n v="119648.22"/>
  </r>
  <r>
    <x v="15"/>
    <n v="116812.64"/>
  </r>
  <r>
    <x v="16"/>
    <n v="115268.08"/>
  </r>
  <r>
    <x v="17"/>
    <n v="86914.08"/>
  </r>
  <r>
    <x v="18"/>
    <n v="83034.98"/>
  </r>
  <r>
    <x v="19"/>
    <n v="80314.81"/>
  </r>
  <r>
    <x v="20"/>
    <n v="58920.85"/>
  </r>
  <r>
    <x v="21"/>
    <n v="49621.74"/>
  </r>
  <r>
    <x v="22"/>
    <n v="46140.639999999999"/>
  </r>
  <r>
    <x v="23"/>
    <n v="22356.84"/>
  </r>
  <r>
    <x v="24"/>
    <n v="15982.95"/>
  </r>
  <r>
    <x v="25"/>
    <n v="13474.3"/>
  </r>
  <r>
    <x v="26"/>
    <n v="7829.4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F705E54-3F99-45E7-8D25-EEADACD33473}" name="PivotTable4" cacheId="4"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6">
  <location ref="A2:B26" firstHeaderRow="1" firstDataRow="1" firstDataCol="1"/>
  <pivotFields count="5">
    <pivotField axis="axisRow" numFmtId="22" showAll="0">
      <items count="25">
        <item x="0"/>
        <item x="1"/>
        <item x="2"/>
        <item x="3"/>
        <item x="4"/>
        <item x="5"/>
        <item x="6"/>
        <item x="7"/>
        <item x="8"/>
        <item x="9"/>
        <item x="10"/>
        <item x="11"/>
        <item x="12"/>
        <item x="13"/>
        <item x="14"/>
        <item x="15"/>
        <item x="16"/>
        <item x="17"/>
        <item x="18"/>
        <item x="19"/>
        <item x="20"/>
        <item x="21"/>
        <item x="22"/>
        <item x="23"/>
        <item t="default"/>
      </items>
    </pivotField>
    <pivotField dataField="1"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6">
        <item sd="0" x="0"/>
        <item sd="0" x="1"/>
        <item sd="0" x="2"/>
        <item sd="0" x="3"/>
        <item sd="0" x="4"/>
        <item t="default"/>
      </items>
    </pivotField>
  </pivotFields>
  <rowFields count="1">
    <field x="0"/>
  </rowFields>
  <rowItems count="24">
    <i>
      <x/>
    </i>
    <i>
      <x v="1"/>
    </i>
    <i>
      <x v="2"/>
    </i>
    <i>
      <x v="3"/>
    </i>
    <i>
      <x v="4"/>
    </i>
    <i>
      <x v="5"/>
    </i>
    <i>
      <x v="6"/>
    </i>
    <i>
      <x v="7"/>
    </i>
    <i>
      <x v="8"/>
    </i>
    <i>
      <x v="9"/>
    </i>
    <i>
      <x v="10"/>
    </i>
    <i>
      <x v="11"/>
    </i>
    <i>
      <x v="12"/>
    </i>
    <i>
      <x v="13"/>
    </i>
    <i>
      <x v="14"/>
    </i>
    <i>
      <x v="15"/>
    </i>
    <i>
      <x v="16"/>
    </i>
    <i>
      <x v="17"/>
    </i>
    <i>
      <x v="18"/>
    </i>
    <i>
      <x v="19"/>
    </i>
    <i>
      <x v="20"/>
    </i>
    <i>
      <x v="21"/>
    </i>
    <i>
      <x v="22"/>
    </i>
    <i>
      <x v="23"/>
    </i>
  </rowItems>
  <colItems count="1">
    <i/>
  </colItems>
  <dataFields count="1">
    <dataField name="Monthly Revenue Trend" fld="1" baseField="0" baseItem="0"/>
  </dataFields>
  <formats count="2">
    <format dxfId="11">
      <pivotArea field="0" type="button" dataOnly="0" labelOnly="1" outline="0" axis="axisRow" fieldPosition="0"/>
    </format>
    <format dxfId="10">
      <pivotArea dataOnly="0" labelOnly="1" fieldPosition="0">
        <references count="1">
          <reference field="0" count="0"/>
        </references>
      </pivotArea>
    </format>
  </formats>
  <chartFormats count="2">
    <chartFormat chart="3" format="0" series="1">
      <pivotArea type="data" outline="0" fieldPosition="0">
        <references count="1">
          <reference field="4294967294" count="1" selected="0">
            <x v="0"/>
          </reference>
        </references>
      </pivotArea>
    </chartFormat>
    <chartFormat chart="8"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114FBE5-FF17-442A-A990-358EA5E11837}" name="PivotTable14" cacheId="2"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51">
  <location ref="A1:B9" firstHeaderRow="1" firstDataRow="1" firstDataCol="1"/>
  <pivotFields count="2">
    <pivotField axis="axisRow" showAll="0">
      <items count="9">
        <item x="7"/>
        <item x="2"/>
        <item x="6"/>
        <item x="0"/>
        <item x="4"/>
        <item x="5"/>
        <item x="1"/>
        <item x="3"/>
        <item t="default"/>
      </items>
    </pivotField>
    <pivotField dataField="1" showAll="0"/>
  </pivotFields>
  <rowFields count="1">
    <field x="0"/>
  </rowFields>
  <rowItems count="8">
    <i>
      <x/>
    </i>
    <i>
      <x v="1"/>
    </i>
    <i>
      <x v="2"/>
    </i>
    <i>
      <x v="3"/>
    </i>
    <i>
      <x v="4"/>
    </i>
    <i>
      <x v="5"/>
    </i>
    <i>
      <x v="6"/>
    </i>
    <i>
      <x v="7"/>
    </i>
  </rowItems>
  <colItems count="1">
    <i/>
  </colItems>
  <dataFields count="1">
    <dataField name="Sum of total_orders" fld="1" baseField="0" baseItem="0"/>
  </dataFields>
  <chartFormats count="2">
    <chartFormat chart="41" format="0" series="1">
      <pivotArea type="data" outline="0" fieldPosition="0">
        <references count="1">
          <reference field="4294967294" count="1" selected="0">
            <x v="0"/>
          </reference>
        </references>
      </pivotArea>
    </chartFormat>
    <chartFormat chart="4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59E6675-01D5-4DC1-9DE6-3F693C12A822}" name="PivotTable2"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0">
  <location ref="A1:B6" firstHeaderRow="1" firstDataRow="1" firstDataCol="1"/>
  <pivotFields count="2">
    <pivotField axis="axisRow" showAll="0">
      <items count="6">
        <item x="1"/>
        <item x="0"/>
        <item x="3"/>
        <item x="4"/>
        <item x="2"/>
        <item t="default"/>
      </items>
    </pivotField>
    <pivotField dataField="1" showAll="0">
      <items count="6">
        <item x="4"/>
        <item x="3"/>
        <item x="2"/>
        <item x="1"/>
        <item x="0"/>
        <item t="default"/>
      </items>
    </pivotField>
  </pivotFields>
  <rowFields count="1">
    <field x="0"/>
  </rowFields>
  <rowItems count="5">
    <i>
      <x/>
    </i>
    <i>
      <x v="1"/>
    </i>
    <i>
      <x v="2"/>
    </i>
    <i>
      <x v="3"/>
    </i>
    <i>
      <x v="4"/>
    </i>
  </rowItems>
  <colItems count="1">
    <i/>
  </colItems>
  <dataFields count="1">
    <dataField name="Sum of total_payments" fld="1" baseField="0" baseItem="0"/>
  </dataFields>
  <chartFormats count="12">
    <chartFormat chart="0" format="0" series="1">
      <pivotArea type="data" outline="0" fieldPosition="0">
        <references count="1">
          <reference field="4294967294" count="1" selected="0">
            <x v="0"/>
          </reference>
        </references>
      </pivotArea>
    </chartFormat>
    <chartFormat chart="3" format="7" series="1">
      <pivotArea type="data" outline="0" fieldPosition="0">
        <references count="1">
          <reference field="4294967294" count="1" selected="0">
            <x v="0"/>
          </reference>
        </references>
      </pivotArea>
    </chartFormat>
    <chartFormat chart="3" format="8">
      <pivotArea type="data" outline="0" fieldPosition="0">
        <references count="2">
          <reference field="4294967294" count="1" selected="0">
            <x v="0"/>
          </reference>
          <reference field="0" count="1" selected="0">
            <x v="0"/>
          </reference>
        </references>
      </pivotArea>
    </chartFormat>
    <chartFormat chart="3" format="9">
      <pivotArea type="data" outline="0" fieldPosition="0">
        <references count="2">
          <reference field="4294967294" count="1" selected="0">
            <x v="0"/>
          </reference>
          <reference field="0" count="1" selected="0">
            <x v="1"/>
          </reference>
        </references>
      </pivotArea>
    </chartFormat>
    <chartFormat chart="3" format="10">
      <pivotArea type="data" outline="0" fieldPosition="0">
        <references count="2">
          <reference field="4294967294" count="1" selected="0">
            <x v="0"/>
          </reference>
          <reference field="0" count="1" selected="0">
            <x v="2"/>
          </reference>
        </references>
      </pivotArea>
    </chartFormat>
    <chartFormat chart="3" format="11">
      <pivotArea type="data" outline="0" fieldPosition="0">
        <references count="2">
          <reference field="4294967294" count="1" selected="0">
            <x v="0"/>
          </reference>
          <reference field="0" count="1" selected="0">
            <x v="3"/>
          </reference>
        </references>
      </pivotArea>
    </chartFormat>
    <chartFormat chart="3" format="12">
      <pivotArea type="data" outline="0" fieldPosition="0">
        <references count="2">
          <reference field="4294967294" count="1" selected="0">
            <x v="0"/>
          </reference>
          <reference field="0" count="1" selected="0">
            <x v="4"/>
          </reference>
        </references>
      </pivotArea>
    </chartFormat>
    <chartFormat chart="0" format="1">
      <pivotArea type="data" outline="0" fieldPosition="0">
        <references count="2">
          <reference field="4294967294" count="1" selected="0">
            <x v="0"/>
          </reference>
          <reference field="0" count="1" selected="0">
            <x v="0"/>
          </reference>
        </references>
      </pivotArea>
    </chartFormat>
    <chartFormat chart="0" format="2">
      <pivotArea type="data" outline="0" fieldPosition="0">
        <references count="2">
          <reference field="4294967294" count="1" selected="0">
            <x v="0"/>
          </reference>
          <reference field="0" count="1" selected="0">
            <x v="1"/>
          </reference>
        </references>
      </pivotArea>
    </chartFormat>
    <chartFormat chart="0" format="3">
      <pivotArea type="data" outline="0" fieldPosition="0">
        <references count="2">
          <reference field="4294967294" count="1" selected="0">
            <x v="0"/>
          </reference>
          <reference field="0" count="1" selected="0">
            <x v="2"/>
          </reference>
        </references>
      </pivotArea>
    </chartFormat>
    <chartFormat chart="0" format="4">
      <pivotArea type="data" outline="0" fieldPosition="0">
        <references count="2">
          <reference field="4294967294" count="1" selected="0">
            <x v="0"/>
          </reference>
          <reference field="0" count="1" selected="0">
            <x v="3"/>
          </reference>
        </references>
      </pivotArea>
    </chartFormat>
    <chartFormat chart="0" format="5">
      <pivotArea type="data" outline="0" fieldPosition="0">
        <references count="2">
          <reference field="4294967294" count="1" selected="0">
            <x v="0"/>
          </reference>
          <reference field="0"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1945533-54FB-4372-88AE-28F2014092EC}" name="PivotTable2" cacheId="3"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9">
  <location ref="A1:B6" firstHeaderRow="1" firstDataRow="1" firstDataCol="1"/>
  <pivotFields count="2">
    <pivotField axis="axisRow" showAll="0">
      <items count="6">
        <item x="3"/>
        <item x="0"/>
        <item x="1"/>
        <item x="2"/>
        <item x="4"/>
        <item t="default"/>
      </items>
    </pivotField>
    <pivotField dataField="1" showAll="0"/>
  </pivotFields>
  <rowFields count="1">
    <field x="0"/>
  </rowFields>
  <rowItems count="5">
    <i>
      <x/>
    </i>
    <i>
      <x v="1"/>
    </i>
    <i>
      <x v="2"/>
    </i>
    <i>
      <x v="3"/>
    </i>
    <i>
      <x v="4"/>
    </i>
  </rowItems>
  <colItems count="1">
    <i/>
  </colItems>
  <dataFields count="1">
    <dataField name="Sum of total_products" fld="1" baseField="0" baseItem="0"/>
  </dataFields>
  <chartFormats count="2">
    <chartFormat chart="3" format="4" series="1">
      <pivotArea type="data" outline="0" fieldPosition="0">
        <references count="1">
          <reference field="4294967294" count="1" selected="0">
            <x v="0"/>
          </reference>
        </references>
      </pivotArea>
    </chartFormat>
    <chartFormat chart="0"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9EF8BDC-9369-425F-832E-9EE80DA56389}" name="PivotTable6" cacheId="5"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20">
  <location ref="A3:B30" firstHeaderRow="1" firstDataRow="1" firstDataCol="1"/>
  <pivotFields count="2">
    <pivotField axis="axisRow" showAll="0">
      <items count="28">
        <item x="24"/>
        <item x="19"/>
        <item x="23"/>
        <item x="25"/>
        <item x="6"/>
        <item x="11"/>
        <item x="7"/>
        <item x="9"/>
        <item x="8"/>
        <item x="14"/>
        <item x="2"/>
        <item x="15"/>
        <item x="13"/>
        <item x="12"/>
        <item x="16"/>
        <item x="10"/>
        <item x="17"/>
        <item x="4"/>
        <item x="1"/>
        <item x="18"/>
        <item x="22"/>
        <item x="26"/>
        <item x="3"/>
        <item x="5"/>
        <item x="20"/>
        <item x="0"/>
        <item x="21"/>
        <item t="default"/>
      </items>
    </pivotField>
    <pivotField dataField="1" showAll="0"/>
  </pivotFields>
  <rowFields count="1">
    <field x="0"/>
  </rowFields>
  <rowItems count="27">
    <i>
      <x/>
    </i>
    <i>
      <x v="1"/>
    </i>
    <i>
      <x v="2"/>
    </i>
    <i>
      <x v="3"/>
    </i>
    <i>
      <x v="4"/>
    </i>
    <i>
      <x v="5"/>
    </i>
    <i>
      <x v="6"/>
    </i>
    <i>
      <x v="7"/>
    </i>
    <i>
      <x v="8"/>
    </i>
    <i>
      <x v="9"/>
    </i>
    <i>
      <x v="10"/>
    </i>
    <i>
      <x v="11"/>
    </i>
    <i>
      <x v="12"/>
    </i>
    <i>
      <x v="13"/>
    </i>
    <i>
      <x v="14"/>
    </i>
    <i>
      <x v="15"/>
    </i>
    <i>
      <x v="16"/>
    </i>
    <i>
      <x v="17"/>
    </i>
    <i>
      <x v="18"/>
    </i>
    <i>
      <x v="19"/>
    </i>
    <i>
      <x v="20"/>
    </i>
    <i>
      <x v="21"/>
    </i>
    <i>
      <x v="22"/>
    </i>
    <i>
      <x v="23"/>
    </i>
    <i>
      <x v="24"/>
    </i>
    <i>
      <x v="25"/>
    </i>
    <i>
      <x v="26"/>
    </i>
  </rowItems>
  <colItems count="1">
    <i/>
  </colItems>
  <dataFields count="1">
    <dataField name="Sum of total_revenue" fld="1" baseField="0" baseItem="0"/>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8710795-869C-40D4-A020-4E4EFF565576}" name="PivotTable8" cacheId="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22">
  <location ref="A1:B11" firstHeaderRow="1" firstDataRow="1" firstDataCol="1"/>
  <pivotFields count="2">
    <pivotField axis="axisRow" showAll="0">
      <items count="11">
        <item x="2"/>
        <item x="3"/>
        <item x="5"/>
        <item x="4"/>
        <item x="8"/>
        <item x="6"/>
        <item x="1"/>
        <item x="7"/>
        <item x="9"/>
        <item x="0"/>
        <item t="default"/>
      </items>
    </pivotField>
    <pivotField dataField="1" showAll="0"/>
  </pivotFields>
  <rowFields count="1">
    <field x="0"/>
  </rowFields>
  <rowItems count="10">
    <i>
      <x/>
    </i>
    <i>
      <x v="1"/>
    </i>
    <i>
      <x v="2"/>
    </i>
    <i>
      <x v="3"/>
    </i>
    <i>
      <x v="4"/>
    </i>
    <i>
      <x v="5"/>
    </i>
    <i>
      <x v="6"/>
    </i>
    <i>
      <x v="7"/>
    </i>
    <i>
      <x v="8"/>
    </i>
    <i>
      <x v="9"/>
    </i>
  </rowItems>
  <colItems count="1">
    <i/>
  </colItems>
  <dataFields count="1">
    <dataField name="Sum of total_customers" fld="1" baseField="0" baseItem="0"/>
  </dataFields>
  <chartFormats count="2">
    <chartFormat chart="9" format="0" series="1">
      <pivotArea type="data" outline="0" fieldPosition="0">
        <references count="1">
          <reference field="4294967294" count="1" selected="0">
            <x v="0"/>
          </reference>
        </references>
      </pivotArea>
    </chartFormat>
    <chartFormat chart="18"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7C37C492-1699-4D3A-9410-42A2F1454D96}" autoFormatId="16" applyNumberFormats="0" applyBorderFormats="0" applyFontFormats="0" applyPatternFormats="0" applyAlignmentFormats="0" applyWidthHeightFormats="0">
  <queryTableRefresh nextId="3">
    <queryTableFields count="2">
      <queryTableField id="1" name="month" tableColumnId="1"/>
      <queryTableField id="2" name="monthly_revenue" tableColumnId="2"/>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2" xr16:uid="{AAECB9B1-1703-47AC-A8C1-87236192994A}" autoFormatId="16" applyNumberFormats="0" applyBorderFormats="0" applyFontFormats="0" applyPatternFormats="0" applyAlignmentFormats="0" applyWidthHeightFormats="0">
  <queryTableRefresh nextId="3">
    <queryTableFields count="2">
      <queryTableField id="1" name="order_status" tableColumnId="1"/>
      <queryTableField id="2" name="total_orders" tableColumnId="2"/>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3" xr16:uid="{617140AF-4150-4A01-8826-8D6B4D22D0FB}" autoFormatId="16" applyNumberFormats="0" applyBorderFormats="0" applyFontFormats="0" applyPatternFormats="0" applyAlignmentFormats="0" applyWidthHeightFormats="0">
  <queryTableRefresh nextId="3">
    <queryTableFields count="2">
      <queryTableField id="1" name="payment_type" tableColumnId="1"/>
      <queryTableField id="2" name="total_payments" tableColumnId="2"/>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connectionId="6" xr16:uid="{03822ACD-9DA4-40FE-A41C-3D6CB3F54FCD}" autoFormatId="16" applyNumberFormats="0" applyBorderFormats="0" applyFontFormats="0" applyPatternFormats="0" applyAlignmentFormats="0" applyWidthHeightFormats="0">
  <queryTableRefresh nextId="3">
    <queryTableFields count="2">
      <queryTableField id="1" name="product_category_name" tableColumnId="1"/>
      <queryTableField id="2" name="total_products" tableColumnId="2"/>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connectionId="7" xr16:uid="{B175988E-C3D7-4C5B-A29E-CEF52E63EF4D}" autoFormatId="16" applyNumberFormats="0" applyBorderFormats="0" applyFontFormats="0" applyPatternFormats="0" applyAlignmentFormats="0" applyWidthHeightFormats="0">
  <queryTableRefresh nextId="3">
    <queryTableFields count="2">
      <queryTableField id="1" name="customer_state" tableColumnId="1"/>
      <queryTableField id="2" name="total_revenue" tableColumnId="2"/>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1" connectionId="8" xr16:uid="{A60F6A5C-D03C-4AE1-8904-9815C7533F32}" autoFormatId="16" applyNumberFormats="0" applyBorderFormats="0" applyFontFormats="0" applyPatternFormats="0" applyAlignmentFormats="0" applyWidthHeightFormats="0">
  <queryTableRefresh nextId="3">
    <queryTableFields count="2">
      <queryTableField id="1" name="customer_city" tableColumnId="1"/>
      <queryTableField id="2" name="total_customers" tableColumnId="2"/>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_type" xr10:uid="{274A3840-608D-45CC-87AC-B2638753EBFA}" sourceName="payment_type">
  <pivotTables>
    <pivotTable tabId="7" name="PivotTable2"/>
  </pivotTables>
  <data>
    <tabular pivotCacheId="2015340678">
      <items count="5">
        <i x="1" s="1"/>
        <i x="0" s="1"/>
        <i x="3" s="1"/>
        <i x="4"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3B545008-74CD-42BC-9DD5-00F27A26D3F7}" sourceName="month">
  <pivotTables>
    <pivotTable tabId="3" name="PivotTable4"/>
  </pivotTables>
  <data>
    <tabular pivotCacheId="895786449">
      <items count="24">
        <i x="0" s="1"/>
        <i x="1" s="1"/>
        <i x="2" s="1"/>
        <i x="3" s="1"/>
        <i x="4" s="1"/>
        <i x="5" s="1"/>
        <i x="6" s="1"/>
        <i x="7" s="1"/>
        <i x="8" s="1"/>
        <i x="9" s="1"/>
        <i x="10" s="1"/>
        <i x="11" s="1"/>
        <i x="12" s="1"/>
        <i x="13" s="1"/>
        <i x="14" s="1"/>
        <i x="15" s="1"/>
        <i x="16" s="1"/>
        <i x="17" s="1"/>
        <i x="18" s="1"/>
        <i x="19" s="1"/>
        <i x="20" s="1"/>
        <i x="21" s="1"/>
        <i x="22" s="1"/>
        <i x="2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ustomer_state" xr10:uid="{10F847EB-1DF3-4F0A-9947-2E71509FE0B3}" sourceName="customer_state">
  <pivotTables>
    <pivotTable tabId="12" name="PivotTable6"/>
  </pivotTables>
  <data>
    <tabular pivotCacheId="2017080861">
      <items count="27">
        <i x="24" s="1"/>
        <i x="19" s="1"/>
        <i x="23" s="1"/>
        <i x="25" s="1"/>
        <i x="6" s="1"/>
        <i x="11" s="1"/>
        <i x="7" s="1"/>
        <i x="9" s="1"/>
        <i x="8" s="1"/>
        <i x="14" s="1"/>
        <i x="2" s="1"/>
        <i x="15" s="1"/>
        <i x="13" s="1"/>
        <i x="12" s="1"/>
        <i x="16" s="1"/>
        <i x="10" s="1"/>
        <i x="17" s="1"/>
        <i x="4" s="1"/>
        <i x="1" s="1"/>
        <i x="18" s="1"/>
        <i x="22" s="1"/>
        <i x="26" s="1"/>
        <i x="3" s="1"/>
        <i x="5" s="1"/>
        <i x="20" s="1"/>
        <i x="0" s="1"/>
        <i x="2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_category_name" xr10:uid="{B484D8EC-F9C7-4415-B2DB-42E3E7E345E9}" sourceName="product_category_name">
  <pivotTables>
    <pivotTable tabId="27" name="PivotTable2"/>
  </pivotTables>
  <data>
    <tabular pivotCacheId="1389305213">
      <items count="5">
        <i x="3" s="1"/>
        <i x="0" s="1"/>
        <i x="1" s="1"/>
        <i x="2" s="1"/>
        <i x="4"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 xr10:uid="{D25509AF-1542-4605-B7A5-ED9FF34288FE}" cache="Slicer_month" caption="month" startItem="7"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yment_type" xr10:uid="{5232BC5C-B341-49B7-A400-AB0EF51D25AB}" cache="Slicer_payment_type" caption="payment_type" rowHeight="2349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_category_name" xr10:uid="{233FC0B0-EE61-4FF6-84B9-A6F904DCD885}" cache="Slicer_product_category_name" caption="product_category_name" rowHeight="2349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ustomer_state" xr10:uid="{D90F7679-2CE8-4FD4-A802-EE10872782FF}" cache="Slicer_customer_state" caption="customer_state" startItem="14" rowHeight="2349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yment_type 1" xr10:uid="{E5C5845D-D0E0-454B-8460-0FB3C60F17F5}" cache="Slicer_payment_type" caption="payment_type" rowHeight="234950"/>
  <slicer name="month 1" xr10:uid="{29E17D7E-30DF-4D28-9CC5-2B451905BF05}" cache="Slicer_month" caption="month" rowHeight="234950"/>
  <slicer name="customer_state 1" xr10:uid="{AA19B20A-A9A2-46C4-BFC7-908082150244}" cache="Slicer_customer_state" caption="customer_state" startItem="10" rowHeight="234950"/>
  <slicer name="product_category_name 1" xr10:uid="{4F4E2A49-9D24-49F4-9009-0B640FDCE7EF}" cache="Slicer_product_category_name" caption="product_category_name" rowHeight="2349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A930089-7A69-4524-8862-0A65C8E48B5E}" name="monthly_revenue" displayName="monthly_revenue" ref="A1:B25" tableType="queryTable" totalsRowShown="0">
  <autoFilter ref="A1:B25" xr:uid="{6A930089-7A69-4524-8862-0A65C8E48B5E}"/>
  <tableColumns count="2">
    <tableColumn id="1" xr3:uid="{70AF75FD-3AD5-4FE8-B4FC-D1094DE1652F}" uniqueName="1" name="month" queryTableFieldId="1" dataDxfId="14"/>
    <tableColumn id="2" xr3:uid="{5C41D94F-C981-43FA-AB95-50AF8E0CA049}" uniqueName="2" name="monthly_revenue" queryTableFieldId="2"/>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AE607F9-6273-42F4-A412-8825FD6688B7}" name="orders_by_status" displayName="orders_by_status" ref="A1:B9" tableType="queryTable" totalsRowShown="0">
  <autoFilter ref="A1:B9" xr:uid="{6AE607F9-6273-42F4-A412-8825FD6688B7}"/>
  <tableColumns count="2">
    <tableColumn id="1" xr3:uid="{237D9FE1-4E18-4FAC-AF81-9BC667D3F476}" uniqueName="1" name="order_status" queryTableFieldId="1" dataDxfId="13"/>
    <tableColumn id="2" xr3:uid="{A81C5C4F-681B-4F30-B315-69E52B2607FD}" uniqueName="2" name="total_orders" queryTableFieldId="2"/>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F69A42F-2616-49AC-B23B-AAE12833336F}" name="payment_distribution" displayName="payment_distribution" ref="A1:B6" tableType="queryTable" totalsRowShown="0">
  <autoFilter ref="A1:B6" xr:uid="{6F69A42F-2616-49AC-B23B-AAE12833336F}"/>
  <tableColumns count="2">
    <tableColumn id="1" xr3:uid="{453D5749-4F91-4E7B-9618-F952FBA6EFD0}" uniqueName="1" name="payment_type" queryTableFieldId="1" dataDxfId="12"/>
    <tableColumn id="2" xr3:uid="{BAE55B7A-2EBA-4433-83DF-D3D74F796C39}" uniqueName="2" name="total_payments" queryTableFieldId="2"/>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976A396-8421-4CA4-94ED-9F2DB2BB90CE}" name="revenue_by_category__3" displayName="revenue_by_category__3" ref="A1:B7" tableType="queryTable" totalsRowCount="1">
  <autoFilter ref="A1:B6" xr:uid="{B976A396-8421-4CA4-94ED-9F2DB2BB90CE}"/>
  <tableColumns count="2">
    <tableColumn id="1" xr3:uid="{326BD7F9-C5A3-4994-B3EC-B5B50CA47669}" uniqueName="1" name="product_category_name" queryTableFieldId="1" dataDxfId="9" totalsRowDxfId="8"/>
    <tableColumn id="2" xr3:uid="{3E215688-0089-4B52-A097-3D923DD556A6}" uniqueName="2" name="total_products" queryTableFieldId="2"/>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BADE573-F93E-4BDE-AD4D-B13BE2BCF652}" name="revenue_by_state" displayName="revenue_by_state" ref="A1:B28" tableType="queryTable" totalsRowShown="0">
  <autoFilter ref="A1:B28" xr:uid="{0BADE573-F93E-4BDE-AD4D-B13BE2BCF652}"/>
  <tableColumns count="2">
    <tableColumn id="1" xr3:uid="{6A5338F6-6F7E-4641-8817-10F3DBE0BD68}" uniqueName="1" name="customer_state" queryTableFieldId="1" dataDxfId="7"/>
    <tableColumn id="2" xr3:uid="{5A134F13-1847-4FB1-8FF9-BD0344D3C3BF}" uniqueName="2" name="total_revenue" queryTableFieldId="2"/>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28A6E041-37F3-4B53-9408-47F3FB6B3479}" name="top_cities_customers" displayName="top_cities_customers" ref="A1:B11" tableType="queryTable" totalsRowShown="0">
  <autoFilter ref="A1:B11" xr:uid="{28A6E041-37F3-4B53-9408-47F3FB6B3479}"/>
  <tableColumns count="2">
    <tableColumn id="1" xr3:uid="{F98AEFA8-2213-40FE-A7F0-A5C1E3E1B5F0}" uniqueName="1" name="customer_city" queryTableFieldId="1" dataDxfId="6"/>
    <tableColumn id="2" xr3:uid="{35E4CDFA-23E7-4696-84CB-9F585AE0FF17}" uniqueName="2" name="total_customers" queryTableFieldId="2"/>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9.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10.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_rels/sheet11.xml.rels><?xml version="1.0" encoding="UTF-8" standalone="yes"?>
<Relationships xmlns="http://schemas.openxmlformats.org/package/2006/relationships"><Relationship Id="rId3" Type="http://schemas.microsoft.com/office/2007/relationships/slicer" Target="../slicers/slicer4.xml"/><Relationship Id="rId2" Type="http://schemas.openxmlformats.org/officeDocument/2006/relationships/drawing" Target="../drawings/drawing5.xml"/><Relationship Id="rId1" Type="http://schemas.openxmlformats.org/officeDocument/2006/relationships/pivotTable" Target="../pivotTables/pivotTable5.xml"/></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3.xml.rels><?xml version="1.0" encoding="UTF-8" standalone="yes"?>
<Relationships xmlns="http://schemas.openxmlformats.org/package/2006/relationships"><Relationship Id="rId2" Type="http://schemas.microsoft.com/office/2007/relationships/slicer" Target="../slicers/slicer5.xml"/><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D55BF0-5601-4CE0-A54D-2752E8F4D4E0}">
  <dimension ref="A1:B25"/>
  <sheetViews>
    <sheetView workbookViewId="0">
      <selection sqref="A1:A25"/>
    </sheetView>
  </sheetViews>
  <sheetFormatPr defaultRowHeight="14.4" x14ac:dyDescent="0.3"/>
  <cols>
    <col min="1" max="1" width="20.33203125" customWidth="1"/>
    <col min="2" max="2" width="18.33203125" bestFit="1" customWidth="1"/>
  </cols>
  <sheetData>
    <row r="1" spans="1:2" x14ac:dyDescent="0.3">
      <c r="A1" s="5" t="s">
        <v>0</v>
      </c>
      <c r="B1" t="s">
        <v>1</v>
      </c>
    </row>
    <row r="2" spans="1:2" x14ac:dyDescent="0.3">
      <c r="A2" s="5">
        <v>42614</v>
      </c>
      <c r="B2">
        <v>267.36</v>
      </c>
    </row>
    <row r="3" spans="1:2" x14ac:dyDescent="0.3">
      <c r="A3" s="5">
        <v>42644</v>
      </c>
      <c r="B3">
        <v>49507.66</v>
      </c>
    </row>
    <row r="4" spans="1:2" x14ac:dyDescent="0.3">
      <c r="A4" s="5">
        <v>42705</v>
      </c>
      <c r="B4">
        <v>10.9</v>
      </c>
    </row>
    <row r="5" spans="1:2" x14ac:dyDescent="0.3">
      <c r="A5" s="5">
        <v>42736</v>
      </c>
      <c r="B5">
        <v>120312.87</v>
      </c>
    </row>
    <row r="6" spans="1:2" x14ac:dyDescent="0.3">
      <c r="A6" s="5">
        <v>42767</v>
      </c>
      <c r="B6">
        <v>247303.02</v>
      </c>
    </row>
    <row r="7" spans="1:2" x14ac:dyDescent="0.3">
      <c r="A7" s="5">
        <v>42795</v>
      </c>
      <c r="B7">
        <v>374344.3</v>
      </c>
    </row>
    <row r="8" spans="1:2" x14ac:dyDescent="0.3">
      <c r="A8" s="5">
        <v>42826</v>
      </c>
      <c r="B8">
        <v>359927.23</v>
      </c>
    </row>
    <row r="9" spans="1:2" x14ac:dyDescent="0.3">
      <c r="A9" s="5">
        <v>42856</v>
      </c>
      <c r="B9">
        <v>506071.14</v>
      </c>
    </row>
    <row r="10" spans="1:2" x14ac:dyDescent="0.3">
      <c r="A10" s="5">
        <v>42887</v>
      </c>
      <c r="B10">
        <v>433038.6</v>
      </c>
    </row>
    <row r="11" spans="1:2" x14ac:dyDescent="0.3">
      <c r="A11" s="5">
        <v>42917</v>
      </c>
      <c r="B11">
        <v>498031.48</v>
      </c>
    </row>
    <row r="12" spans="1:2" x14ac:dyDescent="0.3">
      <c r="A12" s="5">
        <v>42948</v>
      </c>
      <c r="B12">
        <v>573971.68000000005</v>
      </c>
    </row>
    <row r="13" spans="1:2" x14ac:dyDescent="0.3">
      <c r="A13" s="5">
        <v>42979</v>
      </c>
      <c r="B13">
        <v>624401.68999999994</v>
      </c>
    </row>
    <row r="14" spans="1:2" x14ac:dyDescent="0.3">
      <c r="A14" s="5">
        <v>43009</v>
      </c>
      <c r="B14">
        <v>664219.43000000005</v>
      </c>
    </row>
    <row r="15" spans="1:2" x14ac:dyDescent="0.3">
      <c r="A15" s="5">
        <v>43040</v>
      </c>
      <c r="B15">
        <v>1010271.37</v>
      </c>
    </row>
    <row r="16" spans="1:2" x14ac:dyDescent="0.3">
      <c r="A16" s="5">
        <v>43070</v>
      </c>
      <c r="B16">
        <v>743914.17</v>
      </c>
    </row>
    <row r="17" spans="1:2" x14ac:dyDescent="0.3">
      <c r="A17" s="5">
        <v>43101</v>
      </c>
      <c r="B17">
        <v>950030.36</v>
      </c>
    </row>
    <row r="18" spans="1:2" x14ac:dyDescent="0.3">
      <c r="A18" s="5">
        <v>43132</v>
      </c>
      <c r="B18">
        <v>844178.71</v>
      </c>
    </row>
    <row r="19" spans="1:2" x14ac:dyDescent="0.3">
      <c r="A19" s="5">
        <v>43160</v>
      </c>
      <c r="B19">
        <v>983213.44</v>
      </c>
    </row>
    <row r="20" spans="1:2" x14ac:dyDescent="0.3">
      <c r="A20" s="5">
        <v>43191</v>
      </c>
      <c r="B20">
        <v>996647.75</v>
      </c>
    </row>
    <row r="21" spans="1:2" x14ac:dyDescent="0.3">
      <c r="A21" s="5">
        <v>43221</v>
      </c>
      <c r="B21">
        <v>996517.68</v>
      </c>
    </row>
    <row r="22" spans="1:2" x14ac:dyDescent="0.3">
      <c r="A22" s="5">
        <v>43252</v>
      </c>
      <c r="B22">
        <v>865124.31</v>
      </c>
    </row>
    <row r="23" spans="1:2" x14ac:dyDescent="0.3">
      <c r="A23" s="5">
        <v>43282</v>
      </c>
      <c r="B23">
        <v>895507.22</v>
      </c>
    </row>
    <row r="24" spans="1:2" x14ac:dyDescent="0.3">
      <c r="A24" s="5">
        <v>43313</v>
      </c>
      <c r="B24">
        <v>854686.33</v>
      </c>
    </row>
    <row r="25" spans="1:2" x14ac:dyDescent="0.3">
      <c r="A25" s="5">
        <v>43344</v>
      </c>
      <c r="B25">
        <v>145</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D1DC30-36D3-4AAB-815F-CC41BCEB4DD4}">
  <dimension ref="A1:B9"/>
  <sheetViews>
    <sheetView workbookViewId="0">
      <selection sqref="A1:B9"/>
    </sheetView>
  </sheetViews>
  <sheetFormatPr defaultRowHeight="14.4" x14ac:dyDescent="0.3"/>
  <cols>
    <col min="1" max="1" width="13.77734375" bestFit="1" customWidth="1"/>
    <col min="2" max="2" width="13.44140625" bestFit="1" customWidth="1"/>
  </cols>
  <sheetData>
    <row r="1" spans="1:2" x14ac:dyDescent="0.3">
      <c r="A1" t="s">
        <v>3</v>
      </c>
      <c r="B1" t="s">
        <v>4</v>
      </c>
    </row>
    <row r="2" spans="1:2" x14ac:dyDescent="0.3">
      <c r="A2" t="s">
        <v>5</v>
      </c>
      <c r="B2">
        <v>96478</v>
      </c>
    </row>
    <row r="3" spans="1:2" x14ac:dyDescent="0.3">
      <c r="A3" t="s">
        <v>6</v>
      </c>
      <c r="B3">
        <v>1107</v>
      </c>
    </row>
    <row r="4" spans="1:2" x14ac:dyDescent="0.3">
      <c r="A4" t="s">
        <v>7</v>
      </c>
      <c r="B4">
        <v>625</v>
      </c>
    </row>
    <row r="5" spans="1:2" x14ac:dyDescent="0.3">
      <c r="A5" t="s">
        <v>8</v>
      </c>
      <c r="B5">
        <v>609</v>
      </c>
    </row>
    <row r="6" spans="1:2" x14ac:dyDescent="0.3">
      <c r="A6" t="s">
        <v>9</v>
      </c>
      <c r="B6">
        <v>314</v>
      </c>
    </row>
    <row r="7" spans="1:2" x14ac:dyDescent="0.3">
      <c r="A7" t="s">
        <v>10</v>
      </c>
      <c r="B7">
        <v>301</v>
      </c>
    </row>
    <row r="8" spans="1:2" x14ac:dyDescent="0.3">
      <c r="A8" t="s">
        <v>11</v>
      </c>
      <c r="B8">
        <v>5</v>
      </c>
    </row>
    <row r="9" spans="1:2" x14ac:dyDescent="0.3">
      <c r="A9" t="s">
        <v>12</v>
      </c>
      <c r="B9">
        <v>2</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D75E38-AF8E-4688-A851-619BFB4378F2}">
  <dimension ref="A1:B6"/>
  <sheetViews>
    <sheetView workbookViewId="0">
      <selection sqref="A1:B6"/>
    </sheetView>
  </sheetViews>
  <sheetFormatPr defaultRowHeight="14.4" x14ac:dyDescent="0.3"/>
  <cols>
    <col min="1" max="1" width="15.6640625" bestFit="1" customWidth="1"/>
    <col min="2" max="2" width="16.5546875" bestFit="1" customWidth="1"/>
  </cols>
  <sheetData>
    <row r="1" spans="1:2" x14ac:dyDescent="0.3">
      <c r="A1" t="s">
        <v>14</v>
      </c>
      <c r="B1" t="s">
        <v>15</v>
      </c>
    </row>
    <row r="2" spans="1:2" x14ac:dyDescent="0.3">
      <c r="A2" t="s">
        <v>16</v>
      </c>
      <c r="B2">
        <v>76795</v>
      </c>
    </row>
    <row r="3" spans="1:2" x14ac:dyDescent="0.3">
      <c r="A3" t="s">
        <v>17</v>
      </c>
      <c r="B3">
        <v>19784</v>
      </c>
    </row>
    <row r="4" spans="1:2" x14ac:dyDescent="0.3">
      <c r="A4" t="s">
        <v>18</v>
      </c>
      <c r="B4">
        <v>5775</v>
      </c>
    </row>
    <row r="5" spans="1:2" x14ac:dyDescent="0.3">
      <c r="A5" t="s">
        <v>19</v>
      </c>
      <c r="B5">
        <v>1529</v>
      </c>
    </row>
    <row r="6" spans="1:2" x14ac:dyDescent="0.3">
      <c r="A6" t="s">
        <v>20</v>
      </c>
      <c r="B6">
        <v>3</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A17EC-036A-42BF-A6F0-932270518E6E}">
  <dimension ref="A2:B26"/>
  <sheetViews>
    <sheetView topLeftCell="A2" zoomScaleNormal="100" workbookViewId="0">
      <selection activeCell="A2" sqref="A2:B26"/>
    </sheetView>
  </sheetViews>
  <sheetFormatPr defaultRowHeight="14.4" x14ac:dyDescent="0.3"/>
  <cols>
    <col min="1" max="1" width="12.5546875" bestFit="1" customWidth="1"/>
    <col min="2" max="2" width="21.6640625" bestFit="1" customWidth="1"/>
  </cols>
  <sheetData>
    <row r="2" spans="1:2" x14ac:dyDescent="0.3">
      <c r="A2" s="3" t="s">
        <v>2</v>
      </c>
      <c r="B2" t="s">
        <v>73</v>
      </c>
    </row>
    <row r="3" spans="1:2" x14ac:dyDescent="0.3">
      <c r="A3" s="4">
        <v>42614</v>
      </c>
      <c r="B3" s="13">
        <v>267.36</v>
      </c>
    </row>
    <row r="4" spans="1:2" x14ac:dyDescent="0.3">
      <c r="A4" s="4">
        <v>42644</v>
      </c>
      <c r="B4" s="13">
        <v>49507.66</v>
      </c>
    </row>
    <row r="5" spans="1:2" x14ac:dyDescent="0.3">
      <c r="A5" s="4">
        <v>42705</v>
      </c>
      <c r="B5" s="13">
        <v>10.9</v>
      </c>
    </row>
    <row r="6" spans="1:2" x14ac:dyDescent="0.3">
      <c r="A6" s="4">
        <v>42736</v>
      </c>
      <c r="B6" s="13">
        <v>120312.87</v>
      </c>
    </row>
    <row r="7" spans="1:2" x14ac:dyDescent="0.3">
      <c r="A7" s="4">
        <v>42767</v>
      </c>
      <c r="B7" s="13">
        <v>247303.02</v>
      </c>
    </row>
    <row r="8" spans="1:2" x14ac:dyDescent="0.3">
      <c r="A8" s="4">
        <v>42795</v>
      </c>
      <c r="B8" s="13">
        <v>374344.3</v>
      </c>
    </row>
    <row r="9" spans="1:2" x14ac:dyDescent="0.3">
      <c r="A9" s="4">
        <v>42826</v>
      </c>
      <c r="B9" s="13">
        <v>359927.23</v>
      </c>
    </row>
    <row r="10" spans="1:2" x14ac:dyDescent="0.3">
      <c r="A10" s="4">
        <v>42856</v>
      </c>
      <c r="B10" s="13">
        <v>506071.14</v>
      </c>
    </row>
    <row r="11" spans="1:2" x14ac:dyDescent="0.3">
      <c r="A11" s="4">
        <v>42887</v>
      </c>
      <c r="B11" s="13">
        <v>433038.6</v>
      </c>
    </row>
    <row r="12" spans="1:2" x14ac:dyDescent="0.3">
      <c r="A12" s="4">
        <v>42917</v>
      </c>
      <c r="B12" s="13">
        <v>498031.48</v>
      </c>
    </row>
    <row r="13" spans="1:2" x14ac:dyDescent="0.3">
      <c r="A13" s="4">
        <v>42948</v>
      </c>
      <c r="B13" s="13">
        <v>573971.68000000005</v>
      </c>
    </row>
    <row r="14" spans="1:2" x14ac:dyDescent="0.3">
      <c r="A14" s="4">
        <v>42979</v>
      </c>
      <c r="B14" s="13">
        <v>624401.68999999994</v>
      </c>
    </row>
    <row r="15" spans="1:2" x14ac:dyDescent="0.3">
      <c r="A15" s="4">
        <v>43009</v>
      </c>
      <c r="B15" s="13">
        <v>664219.43000000005</v>
      </c>
    </row>
    <row r="16" spans="1:2" x14ac:dyDescent="0.3">
      <c r="A16" s="4">
        <v>43040</v>
      </c>
      <c r="B16" s="13">
        <v>1010271.37</v>
      </c>
    </row>
    <row r="17" spans="1:2" x14ac:dyDescent="0.3">
      <c r="A17" s="4">
        <v>43070</v>
      </c>
      <c r="B17" s="13">
        <v>743914.17</v>
      </c>
    </row>
    <row r="18" spans="1:2" x14ac:dyDescent="0.3">
      <c r="A18" s="4">
        <v>43101</v>
      </c>
      <c r="B18" s="13">
        <v>950030.36</v>
      </c>
    </row>
    <row r="19" spans="1:2" x14ac:dyDescent="0.3">
      <c r="A19" s="4">
        <v>43132</v>
      </c>
      <c r="B19" s="13">
        <v>844178.71</v>
      </c>
    </row>
    <row r="20" spans="1:2" x14ac:dyDescent="0.3">
      <c r="A20" s="4">
        <v>43160</v>
      </c>
      <c r="B20" s="13">
        <v>983213.44</v>
      </c>
    </row>
    <row r="21" spans="1:2" x14ac:dyDescent="0.3">
      <c r="A21" s="4">
        <v>43191</v>
      </c>
      <c r="B21" s="13">
        <v>996647.75</v>
      </c>
    </row>
    <row r="22" spans="1:2" x14ac:dyDescent="0.3">
      <c r="A22" s="4">
        <v>43221</v>
      </c>
      <c r="B22" s="13">
        <v>996517.68</v>
      </c>
    </row>
    <row r="23" spans="1:2" x14ac:dyDescent="0.3">
      <c r="A23" s="4">
        <v>43252</v>
      </c>
      <c r="B23" s="13">
        <v>865124.31</v>
      </c>
    </row>
    <row r="24" spans="1:2" x14ac:dyDescent="0.3">
      <c r="A24" s="4">
        <v>43282</v>
      </c>
      <c r="B24" s="13">
        <v>895507.22</v>
      </c>
    </row>
    <row r="25" spans="1:2" x14ac:dyDescent="0.3">
      <c r="A25" s="4">
        <v>43313</v>
      </c>
      <c r="B25" s="13">
        <v>854686.33</v>
      </c>
    </row>
    <row r="26" spans="1:2" x14ac:dyDescent="0.3">
      <c r="A26" s="4">
        <v>43344</v>
      </c>
      <c r="B26" s="13">
        <v>145</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AC9EF9-75D7-46B5-8113-365FD7A829DD}">
  <dimension ref="A1:B6"/>
  <sheetViews>
    <sheetView workbookViewId="0">
      <selection activeCell="B10" sqref="B10"/>
    </sheetView>
  </sheetViews>
  <sheetFormatPr defaultRowHeight="14.4" x14ac:dyDescent="0.3"/>
  <cols>
    <col min="1" max="1" width="24.33203125" bestFit="1" customWidth="1"/>
    <col min="2" max="2" width="15.6640625" bestFit="1" customWidth="1"/>
  </cols>
  <sheetData>
    <row r="1" spans="1:2" x14ac:dyDescent="0.3">
      <c r="A1" t="s">
        <v>22</v>
      </c>
      <c r="B1" t="s">
        <v>74</v>
      </c>
    </row>
    <row r="2" spans="1:2" x14ac:dyDescent="0.3">
      <c r="A2" t="s">
        <v>25</v>
      </c>
      <c r="B2">
        <v>3029</v>
      </c>
    </row>
    <row r="3" spans="1:2" x14ac:dyDescent="0.3">
      <c r="A3" t="s">
        <v>26</v>
      </c>
      <c r="B3">
        <v>2867</v>
      </c>
    </row>
    <row r="4" spans="1:2" x14ac:dyDescent="0.3">
      <c r="A4" t="s">
        <v>27</v>
      </c>
      <c r="B4">
        <v>2657</v>
      </c>
    </row>
    <row r="5" spans="1:2" x14ac:dyDescent="0.3">
      <c r="A5" t="s">
        <v>24</v>
      </c>
      <c r="B5">
        <v>2444</v>
      </c>
    </row>
    <row r="6" spans="1:2" x14ac:dyDescent="0.3">
      <c r="A6" t="s">
        <v>28</v>
      </c>
      <c r="B6">
        <v>2335</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875B98-B867-44E8-A64F-0ADF8F2CD8C9}">
  <dimension ref="A1:B28"/>
  <sheetViews>
    <sheetView workbookViewId="0">
      <selection activeCell="B30" sqref="B30"/>
    </sheetView>
  </sheetViews>
  <sheetFormatPr defaultRowHeight="14.4" x14ac:dyDescent="0.3"/>
  <cols>
    <col min="1" max="1" width="16.33203125" bestFit="1" customWidth="1"/>
    <col min="2" max="2" width="15" bestFit="1" customWidth="1"/>
  </cols>
  <sheetData>
    <row r="1" spans="1:2" x14ac:dyDescent="0.3">
      <c r="A1" t="s">
        <v>30</v>
      </c>
      <c r="B1" t="s">
        <v>23</v>
      </c>
    </row>
    <row r="2" spans="1:2" x14ac:dyDescent="0.3">
      <c r="A2" t="s">
        <v>31</v>
      </c>
      <c r="B2">
        <v>5202955.05</v>
      </c>
    </row>
    <row r="3" spans="1:2" x14ac:dyDescent="0.3">
      <c r="A3" t="s">
        <v>32</v>
      </c>
      <c r="B3">
        <v>1824092.67</v>
      </c>
    </row>
    <row r="4" spans="1:2" x14ac:dyDescent="0.3">
      <c r="A4" t="s">
        <v>33</v>
      </c>
      <c r="B4">
        <v>1585308.03</v>
      </c>
    </row>
    <row r="5" spans="1:2" x14ac:dyDescent="0.3">
      <c r="A5" t="s">
        <v>34</v>
      </c>
      <c r="B5">
        <v>750304.02</v>
      </c>
    </row>
    <row r="6" spans="1:2" x14ac:dyDescent="0.3">
      <c r="A6" t="s">
        <v>35</v>
      </c>
      <c r="B6">
        <v>683083.76</v>
      </c>
    </row>
    <row r="7" spans="1:2" x14ac:dyDescent="0.3">
      <c r="A7" t="s">
        <v>36</v>
      </c>
      <c r="B7">
        <v>520553.34</v>
      </c>
    </row>
    <row r="8" spans="1:2" x14ac:dyDescent="0.3">
      <c r="A8" t="s">
        <v>37</v>
      </c>
      <c r="B8">
        <v>511349.99</v>
      </c>
    </row>
    <row r="9" spans="1:2" x14ac:dyDescent="0.3">
      <c r="A9" t="s">
        <v>38</v>
      </c>
      <c r="B9">
        <v>302603.94</v>
      </c>
    </row>
    <row r="10" spans="1:2" x14ac:dyDescent="0.3">
      <c r="A10" t="s">
        <v>39</v>
      </c>
      <c r="B10">
        <v>294591.95</v>
      </c>
    </row>
    <row r="11" spans="1:2" x14ac:dyDescent="0.3">
      <c r="A11" t="s">
        <v>40</v>
      </c>
      <c r="B11">
        <v>275037.31</v>
      </c>
    </row>
    <row r="12" spans="1:2" x14ac:dyDescent="0.3">
      <c r="A12" t="s">
        <v>41</v>
      </c>
      <c r="B12">
        <v>262788.03000000003</v>
      </c>
    </row>
    <row r="13" spans="1:2" x14ac:dyDescent="0.3">
      <c r="A13" t="s">
        <v>42</v>
      </c>
      <c r="B13">
        <v>227254.71</v>
      </c>
    </row>
    <row r="14" spans="1:2" x14ac:dyDescent="0.3">
      <c r="A14" t="s">
        <v>43</v>
      </c>
      <c r="B14">
        <v>178947.81</v>
      </c>
    </row>
    <row r="15" spans="1:2" x14ac:dyDescent="0.3">
      <c r="A15" t="s">
        <v>44</v>
      </c>
      <c r="B15">
        <v>156453.53</v>
      </c>
    </row>
    <row r="16" spans="1:2" x14ac:dyDescent="0.3">
      <c r="A16" t="s">
        <v>45</v>
      </c>
      <c r="B16">
        <v>119648.22</v>
      </c>
    </row>
    <row r="17" spans="1:2" x14ac:dyDescent="0.3">
      <c r="A17" t="s">
        <v>46</v>
      </c>
      <c r="B17">
        <v>116812.64</v>
      </c>
    </row>
    <row r="18" spans="1:2" x14ac:dyDescent="0.3">
      <c r="A18" t="s">
        <v>47</v>
      </c>
      <c r="B18">
        <v>115268.08</v>
      </c>
    </row>
    <row r="19" spans="1:2" x14ac:dyDescent="0.3">
      <c r="A19" t="s">
        <v>48</v>
      </c>
      <c r="B19">
        <v>86914.08</v>
      </c>
    </row>
    <row r="20" spans="1:2" x14ac:dyDescent="0.3">
      <c r="A20" t="s">
        <v>49</v>
      </c>
      <c r="B20">
        <v>83034.98</v>
      </c>
    </row>
    <row r="21" spans="1:2" x14ac:dyDescent="0.3">
      <c r="A21" t="s">
        <v>50</v>
      </c>
      <c r="B21">
        <v>80314.81</v>
      </c>
    </row>
    <row r="22" spans="1:2" x14ac:dyDescent="0.3">
      <c r="A22" t="s">
        <v>51</v>
      </c>
      <c r="B22">
        <v>58920.85</v>
      </c>
    </row>
    <row r="23" spans="1:2" x14ac:dyDescent="0.3">
      <c r="A23" t="s">
        <v>52</v>
      </c>
      <c r="B23">
        <v>49621.74</v>
      </c>
    </row>
    <row r="24" spans="1:2" x14ac:dyDescent="0.3">
      <c r="A24" t="s">
        <v>53</v>
      </c>
      <c r="B24">
        <v>46140.639999999999</v>
      </c>
    </row>
    <row r="25" spans="1:2" x14ac:dyDescent="0.3">
      <c r="A25" t="s">
        <v>54</v>
      </c>
      <c r="B25">
        <v>22356.84</v>
      </c>
    </row>
    <row r="26" spans="1:2" x14ac:dyDescent="0.3">
      <c r="A26" t="s">
        <v>55</v>
      </c>
      <c r="B26">
        <v>15982.95</v>
      </c>
    </row>
    <row r="27" spans="1:2" x14ac:dyDescent="0.3">
      <c r="A27" t="s">
        <v>56</v>
      </c>
      <c r="B27">
        <v>13474.3</v>
      </c>
    </row>
    <row r="28" spans="1:2" x14ac:dyDescent="0.3">
      <c r="A28" t="s">
        <v>57</v>
      </c>
      <c r="B28">
        <v>7829.43</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6DD81F-03BC-4EE2-97A2-BFEF09CB1BE2}">
  <dimension ref="A1:B11"/>
  <sheetViews>
    <sheetView workbookViewId="0">
      <selection sqref="A1:B11"/>
    </sheetView>
  </sheetViews>
  <sheetFormatPr defaultRowHeight="14.4" x14ac:dyDescent="0.3"/>
  <cols>
    <col min="1" max="1" width="20.5546875" bestFit="1" customWidth="1"/>
    <col min="2" max="2" width="16.88671875" bestFit="1" customWidth="1"/>
  </cols>
  <sheetData>
    <row r="1" spans="1:2" x14ac:dyDescent="0.3">
      <c r="A1" t="s">
        <v>58</v>
      </c>
      <c r="B1" t="s">
        <v>59</v>
      </c>
    </row>
    <row r="2" spans="1:2" x14ac:dyDescent="0.3">
      <c r="A2" t="s">
        <v>60</v>
      </c>
      <c r="B2">
        <v>15540</v>
      </c>
    </row>
    <row r="3" spans="1:2" x14ac:dyDescent="0.3">
      <c r="A3" t="s">
        <v>61</v>
      </c>
      <c r="B3">
        <v>6882</v>
      </c>
    </row>
    <row r="4" spans="1:2" x14ac:dyDescent="0.3">
      <c r="A4" t="s">
        <v>62</v>
      </c>
      <c r="B4">
        <v>2773</v>
      </c>
    </row>
    <row r="5" spans="1:2" x14ac:dyDescent="0.3">
      <c r="A5" t="s">
        <v>63</v>
      </c>
      <c r="B5">
        <v>2131</v>
      </c>
    </row>
    <row r="6" spans="1:2" x14ac:dyDescent="0.3">
      <c r="A6" t="s">
        <v>64</v>
      </c>
      <c r="B6">
        <v>1521</v>
      </c>
    </row>
    <row r="7" spans="1:2" x14ac:dyDescent="0.3">
      <c r="A7" t="s">
        <v>65</v>
      </c>
      <c r="B7">
        <v>1444</v>
      </c>
    </row>
    <row r="8" spans="1:2" x14ac:dyDescent="0.3">
      <c r="A8" t="s">
        <v>66</v>
      </c>
      <c r="B8">
        <v>1379</v>
      </c>
    </row>
    <row r="9" spans="1:2" x14ac:dyDescent="0.3">
      <c r="A9" t="s">
        <v>67</v>
      </c>
      <c r="B9">
        <v>1245</v>
      </c>
    </row>
    <row r="10" spans="1:2" x14ac:dyDescent="0.3">
      <c r="A10" t="s">
        <v>68</v>
      </c>
      <c r="B10">
        <v>1189</v>
      </c>
    </row>
    <row r="11" spans="1:2" x14ac:dyDescent="0.3">
      <c r="A11" t="s">
        <v>69</v>
      </c>
      <c r="B11">
        <v>938</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C2E440-582A-43E2-AC1D-211B456AAF7F}">
  <dimension ref="A1:B10"/>
  <sheetViews>
    <sheetView workbookViewId="0">
      <selection activeCell="C9" sqref="C9"/>
    </sheetView>
  </sheetViews>
  <sheetFormatPr defaultRowHeight="14.4" x14ac:dyDescent="0.3"/>
  <cols>
    <col min="1" max="1" width="12.5546875" bestFit="1" customWidth="1"/>
    <col min="2" max="2" width="17.88671875" bestFit="1" customWidth="1"/>
  </cols>
  <sheetData>
    <row r="1" spans="1:2" x14ac:dyDescent="0.3">
      <c r="A1" s="1" t="s">
        <v>2</v>
      </c>
      <c r="B1" t="s">
        <v>13</v>
      </c>
    </row>
    <row r="2" spans="1:2" x14ac:dyDescent="0.3">
      <c r="A2" s="2" t="s">
        <v>12</v>
      </c>
      <c r="B2">
        <v>2</v>
      </c>
    </row>
    <row r="3" spans="1:2" x14ac:dyDescent="0.3">
      <c r="A3" s="2" t="s">
        <v>7</v>
      </c>
      <c r="B3">
        <v>625</v>
      </c>
    </row>
    <row r="4" spans="1:2" x14ac:dyDescent="0.3">
      <c r="A4" s="2" t="s">
        <v>11</v>
      </c>
      <c r="B4">
        <v>5</v>
      </c>
    </row>
    <row r="5" spans="1:2" x14ac:dyDescent="0.3">
      <c r="A5" s="2" t="s">
        <v>5</v>
      </c>
      <c r="B5">
        <v>96478</v>
      </c>
    </row>
    <row r="6" spans="1:2" x14ac:dyDescent="0.3">
      <c r="A6" s="2" t="s">
        <v>9</v>
      </c>
      <c r="B6">
        <v>314</v>
      </c>
    </row>
    <row r="7" spans="1:2" x14ac:dyDescent="0.3">
      <c r="A7" s="2" t="s">
        <v>10</v>
      </c>
      <c r="B7">
        <v>301</v>
      </c>
    </row>
    <row r="8" spans="1:2" x14ac:dyDescent="0.3">
      <c r="A8" s="2" t="s">
        <v>6</v>
      </c>
      <c r="B8">
        <v>1107</v>
      </c>
    </row>
    <row r="9" spans="1:2" x14ac:dyDescent="0.3">
      <c r="A9" s="2" t="s">
        <v>8</v>
      </c>
      <c r="B9">
        <v>609</v>
      </c>
    </row>
    <row r="10" spans="1:2" x14ac:dyDescent="0.3">
      <c r="A10" s="7" t="s">
        <v>76</v>
      </c>
      <c r="B10" s="10">
        <f>SUM(B2:B9)</f>
        <v>99441</v>
      </c>
    </row>
  </sheetData>
  <pageMargins left="0.7" right="0.7" top="0.75" bottom="0.75" header="0.3" footer="0.3"/>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6C36EA-A847-4D78-88ED-842B4E812563}">
  <dimension ref="A1:B6"/>
  <sheetViews>
    <sheetView workbookViewId="0">
      <selection activeCell="B18" sqref="B18"/>
    </sheetView>
  </sheetViews>
  <sheetFormatPr defaultRowHeight="14.4" x14ac:dyDescent="0.3"/>
  <cols>
    <col min="1" max="1" width="12.5546875" bestFit="1" customWidth="1"/>
    <col min="2" max="2" width="20.88671875" bestFit="1" customWidth="1"/>
  </cols>
  <sheetData>
    <row r="1" spans="1:2" x14ac:dyDescent="0.3">
      <c r="A1" s="1" t="s">
        <v>2</v>
      </c>
      <c r="B1" t="s">
        <v>21</v>
      </c>
    </row>
    <row r="2" spans="1:2" x14ac:dyDescent="0.3">
      <c r="A2" s="2" t="s">
        <v>17</v>
      </c>
      <c r="B2">
        <v>19784</v>
      </c>
    </row>
    <row r="3" spans="1:2" x14ac:dyDescent="0.3">
      <c r="A3" s="2" t="s">
        <v>16</v>
      </c>
      <c r="B3">
        <v>76795</v>
      </c>
    </row>
    <row r="4" spans="1:2" x14ac:dyDescent="0.3">
      <c r="A4" s="2" t="s">
        <v>19</v>
      </c>
      <c r="B4">
        <v>1529</v>
      </c>
    </row>
    <row r="5" spans="1:2" x14ac:dyDescent="0.3">
      <c r="A5" s="2" t="s">
        <v>20</v>
      </c>
      <c r="B5">
        <v>3</v>
      </c>
    </row>
    <row r="6" spans="1:2" x14ac:dyDescent="0.3">
      <c r="A6" s="2" t="s">
        <v>18</v>
      </c>
      <c r="B6">
        <v>5775</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50CBE-3FCE-4999-B345-A191345E32A1}">
  <dimension ref="A1:B6"/>
  <sheetViews>
    <sheetView workbookViewId="0">
      <selection sqref="A1:B6"/>
    </sheetView>
  </sheetViews>
  <sheetFormatPr defaultRowHeight="14.4" x14ac:dyDescent="0.3"/>
  <cols>
    <col min="1" max="1" width="19.21875" bestFit="1" customWidth="1"/>
    <col min="2" max="2" width="20" bestFit="1" customWidth="1"/>
  </cols>
  <sheetData>
    <row r="1" spans="1:2" x14ac:dyDescent="0.3">
      <c r="A1" s="1" t="s">
        <v>2</v>
      </c>
      <c r="B1" t="s">
        <v>75</v>
      </c>
    </row>
    <row r="2" spans="1:2" x14ac:dyDescent="0.3">
      <c r="A2" s="2" t="s">
        <v>24</v>
      </c>
      <c r="B2">
        <v>2444</v>
      </c>
    </row>
    <row r="3" spans="1:2" x14ac:dyDescent="0.3">
      <c r="A3" s="2" t="s">
        <v>25</v>
      </c>
      <c r="B3">
        <v>3029</v>
      </c>
    </row>
    <row r="4" spans="1:2" x14ac:dyDescent="0.3">
      <c r="A4" s="2" t="s">
        <v>26</v>
      </c>
      <c r="B4">
        <v>2867</v>
      </c>
    </row>
    <row r="5" spans="1:2" x14ac:dyDescent="0.3">
      <c r="A5" s="2" t="s">
        <v>27</v>
      </c>
      <c r="B5">
        <v>2657</v>
      </c>
    </row>
    <row r="6" spans="1:2" x14ac:dyDescent="0.3">
      <c r="A6" s="2" t="s">
        <v>28</v>
      </c>
      <c r="B6">
        <v>2335</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1A4BDF-DC27-4122-9ADF-5692155F6F81}">
  <dimension ref="A3:B31"/>
  <sheetViews>
    <sheetView workbookViewId="0">
      <selection activeCell="D31" sqref="D31"/>
    </sheetView>
  </sheetViews>
  <sheetFormatPr defaultRowHeight="14.4" x14ac:dyDescent="0.3"/>
  <cols>
    <col min="1" max="1" width="12.5546875" bestFit="1" customWidth="1"/>
    <col min="2" max="2" width="19.44140625" bestFit="1" customWidth="1"/>
  </cols>
  <sheetData>
    <row r="3" spans="1:2" x14ac:dyDescent="0.3">
      <c r="A3" s="1" t="s">
        <v>2</v>
      </c>
      <c r="B3" t="s">
        <v>29</v>
      </c>
    </row>
    <row r="4" spans="1:2" x14ac:dyDescent="0.3">
      <c r="A4" s="2" t="s">
        <v>55</v>
      </c>
      <c r="B4">
        <v>15982.95</v>
      </c>
    </row>
    <row r="5" spans="1:2" x14ac:dyDescent="0.3">
      <c r="A5" s="2" t="s">
        <v>50</v>
      </c>
      <c r="B5">
        <v>80314.81</v>
      </c>
    </row>
    <row r="6" spans="1:2" x14ac:dyDescent="0.3">
      <c r="A6" s="2" t="s">
        <v>54</v>
      </c>
      <c r="B6">
        <v>22356.84</v>
      </c>
    </row>
    <row r="7" spans="1:2" x14ac:dyDescent="0.3">
      <c r="A7" s="2" t="s">
        <v>56</v>
      </c>
      <c r="B7">
        <v>13474.3</v>
      </c>
    </row>
    <row r="8" spans="1:2" x14ac:dyDescent="0.3">
      <c r="A8" s="2" t="s">
        <v>37</v>
      </c>
      <c r="B8">
        <v>511349.99</v>
      </c>
    </row>
    <row r="9" spans="1:2" x14ac:dyDescent="0.3">
      <c r="A9" s="2" t="s">
        <v>42</v>
      </c>
      <c r="B9">
        <v>227254.71</v>
      </c>
    </row>
    <row r="10" spans="1:2" x14ac:dyDescent="0.3">
      <c r="A10" s="2" t="s">
        <v>38</v>
      </c>
      <c r="B10">
        <v>302603.94</v>
      </c>
    </row>
    <row r="11" spans="1:2" x14ac:dyDescent="0.3">
      <c r="A11" s="2" t="s">
        <v>40</v>
      </c>
      <c r="B11">
        <v>275037.31</v>
      </c>
    </row>
    <row r="12" spans="1:2" x14ac:dyDescent="0.3">
      <c r="A12" s="2" t="s">
        <v>39</v>
      </c>
      <c r="B12">
        <v>294591.95</v>
      </c>
    </row>
    <row r="13" spans="1:2" x14ac:dyDescent="0.3">
      <c r="A13" s="2" t="s">
        <v>45</v>
      </c>
      <c r="B13">
        <v>119648.22</v>
      </c>
    </row>
    <row r="14" spans="1:2" x14ac:dyDescent="0.3">
      <c r="A14" s="2" t="s">
        <v>33</v>
      </c>
      <c r="B14">
        <v>1585308.03</v>
      </c>
    </row>
    <row r="15" spans="1:2" x14ac:dyDescent="0.3">
      <c r="A15" s="2" t="s">
        <v>46</v>
      </c>
      <c r="B15">
        <v>116812.64</v>
      </c>
    </row>
    <row r="16" spans="1:2" x14ac:dyDescent="0.3">
      <c r="A16" s="2" t="s">
        <v>44</v>
      </c>
      <c r="B16">
        <v>156453.53</v>
      </c>
    </row>
    <row r="17" spans="1:2" x14ac:dyDescent="0.3">
      <c r="A17" s="2" t="s">
        <v>43</v>
      </c>
      <c r="B17">
        <v>178947.81</v>
      </c>
    </row>
    <row r="18" spans="1:2" x14ac:dyDescent="0.3">
      <c r="A18" s="2" t="s">
        <v>47</v>
      </c>
      <c r="B18">
        <v>115268.08</v>
      </c>
    </row>
    <row r="19" spans="1:2" x14ac:dyDescent="0.3">
      <c r="A19" s="2" t="s">
        <v>41</v>
      </c>
      <c r="B19">
        <v>262788.03000000003</v>
      </c>
    </row>
    <row r="20" spans="1:2" x14ac:dyDescent="0.3">
      <c r="A20" s="2" t="s">
        <v>48</v>
      </c>
      <c r="B20">
        <v>86914.08</v>
      </c>
    </row>
    <row r="21" spans="1:2" x14ac:dyDescent="0.3">
      <c r="A21" s="2" t="s">
        <v>35</v>
      </c>
      <c r="B21">
        <v>683083.76</v>
      </c>
    </row>
    <row r="22" spans="1:2" x14ac:dyDescent="0.3">
      <c r="A22" s="2" t="s">
        <v>32</v>
      </c>
      <c r="B22">
        <v>1824092.67</v>
      </c>
    </row>
    <row r="23" spans="1:2" x14ac:dyDescent="0.3">
      <c r="A23" s="2" t="s">
        <v>49</v>
      </c>
      <c r="B23">
        <v>83034.98</v>
      </c>
    </row>
    <row r="24" spans="1:2" x14ac:dyDescent="0.3">
      <c r="A24" s="2" t="s">
        <v>53</v>
      </c>
      <c r="B24">
        <v>46140.639999999999</v>
      </c>
    </row>
    <row r="25" spans="1:2" x14ac:dyDescent="0.3">
      <c r="A25" s="2" t="s">
        <v>57</v>
      </c>
      <c r="B25">
        <v>7829.43</v>
      </c>
    </row>
    <row r="26" spans="1:2" x14ac:dyDescent="0.3">
      <c r="A26" s="2" t="s">
        <v>34</v>
      </c>
      <c r="B26">
        <v>750304.02</v>
      </c>
    </row>
    <row r="27" spans="1:2" x14ac:dyDescent="0.3">
      <c r="A27" s="2" t="s">
        <v>36</v>
      </c>
      <c r="B27">
        <v>520553.34</v>
      </c>
    </row>
    <row r="28" spans="1:2" x14ac:dyDescent="0.3">
      <c r="A28" s="2" t="s">
        <v>51</v>
      </c>
      <c r="B28">
        <v>58920.85</v>
      </c>
    </row>
    <row r="29" spans="1:2" x14ac:dyDescent="0.3">
      <c r="A29" s="2" t="s">
        <v>31</v>
      </c>
      <c r="B29">
        <v>5202955.05</v>
      </c>
    </row>
    <row r="30" spans="1:2" x14ac:dyDescent="0.3">
      <c r="A30" s="2" t="s">
        <v>52</v>
      </c>
      <c r="B30">
        <v>49621.74</v>
      </c>
    </row>
    <row r="31" spans="1:2" x14ac:dyDescent="0.3">
      <c r="A31" s="6" t="s">
        <v>76</v>
      </c>
      <c r="B31" s="9">
        <f>SUM(B4:B30)</f>
        <v>13591643.699999997</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A06557-E7E5-44FF-A7E4-C801C37BFC17}">
  <dimension ref="A1:B11"/>
  <sheetViews>
    <sheetView workbookViewId="0">
      <selection sqref="A1:XFD1"/>
    </sheetView>
  </sheetViews>
  <sheetFormatPr defaultRowHeight="14.4" x14ac:dyDescent="0.3"/>
  <cols>
    <col min="1" max="1" width="20.5546875" bestFit="1" customWidth="1"/>
    <col min="2" max="2" width="21.33203125" bestFit="1" customWidth="1"/>
  </cols>
  <sheetData>
    <row r="1" spans="1:2" x14ac:dyDescent="0.3">
      <c r="A1" s="1" t="s">
        <v>2</v>
      </c>
      <c r="B1" t="s">
        <v>70</v>
      </c>
    </row>
    <row r="2" spans="1:2" x14ac:dyDescent="0.3">
      <c r="A2" s="2" t="s">
        <v>62</v>
      </c>
      <c r="B2">
        <v>2773</v>
      </c>
    </row>
    <row r="3" spans="1:2" x14ac:dyDescent="0.3">
      <c r="A3" s="2" t="s">
        <v>63</v>
      </c>
      <c r="B3">
        <v>2131</v>
      </c>
    </row>
    <row r="4" spans="1:2" x14ac:dyDescent="0.3">
      <c r="A4" s="2" t="s">
        <v>65</v>
      </c>
      <c r="B4">
        <v>1444</v>
      </c>
    </row>
    <row r="5" spans="1:2" x14ac:dyDescent="0.3">
      <c r="A5" s="2" t="s">
        <v>64</v>
      </c>
      <c r="B5">
        <v>1521</v>
      </c>
    </row>
    <row r="6" spans="1:2" x14ac:dyDescent="0.3">
      <c r="A6" s="2" t="s">
        <v>68</v>
      </c>
      <c r="B6">
        <v>1189</v>
      </c>
    </row>
    <row r="7" spans="1:2" x14ac:dyDescent="0.3">
      <c r="A7" s="2" t="s">
        <v>66</v>
      </c>
      <c r="B7">
        <v>1379</v>
      </c>
    </row>
    <row r="8" spans="1:2" x14ac:dyDescent="0.3">
      <c r="A8" s="2" t="s">
        <v>61</v>
      </c>
      <c r="B8">
        <v>6882</v>
      </c>
    </row>
    <row r="9" spans="1:2" x14ac:dyDescent="0.3">
      <c r="A9" s="2" t="s">
        <v>67</v>
      </c>
      <c r="B9">
        <v>1245</v>
      </c>
    </row>
    <row r="10" spans="1:2" x14ac:dyDescent="0.3">
      <c r="A10" s="2" t="s">
        <v>69</v>
      </c>
      <c r="B10">
        <v>938</v>
      </c>
    </row>
    <row r="11" spans="1:2" x14ac:dyDescent="0.3">
      <c r="A11" s="2" t="s">
        <v>60</v>
      </c>
      <c r="B11">
        <v>15540</v>
      </c>
    </row>
  </sheetData>
  <pageMargins left="0.7" right="0.7" top="0.75" bottom="0.75" header="0.3" footer="0.3"/>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BD3FFB-5E8F-48B6-A141-0B8B12FDF44B}">
  <dimension ref="A1:X4"/>
  <sheetViews>
    <sheetView showGridLines="0" tabSelected="1" workbookViewId="0">
      <selection sqref="A1:X1"/>
    </sheetView>
  </sheetViews>
  <sheetFormatPr defaultRowHeight="14.4" x14ac:dyDescent="0.3"/>
  <cols>
    <col min="1" max="16384" width="8.88671875" style="8"/>
  </cols>
  <sheetData>
    <row r="1" spans="1:24" ht="28.8" x14ac:dyDescent="0.3">
      <c r="A1" s="11" t="s">
        <v>71</v>
      </c>
      <c r="B1" s="12"/>
      <c r="C1" s="12"/>
      <c r="D1" s="12"/>
      <c r="E1" s="12"/>
      <c r="F1" s="12"/>
      <c r="G1" s="12"/>
      <c r="H1" s="12"/>
      <c r="I1" s="12"/>
      <c r="J1" s="12"/>
      <c r="K1" s="12"/>
      <c r="L1" s="12"/>
      <c r="M1" s="12"/>
      <c r="N1" s="12"/>
      <c r="O1" s="12"/>
      <c r="P1" s="12"/>
      <c r="Q1" s="12"/>
      <c r="R1" s="12"/>
      <c r="S1" s="12"/>
      <c r="T1" s="12"/>
      <c r="U1" s="12"/>
      <c r="V1" s="12"/>
      <c r="W1" s="12"/>
      <c r="X1" s="12"/>
    </row>
    <row r="4" spans="1:24" x14ac:dyDescent="0.3">
      <c r="V4" s="8" t="s">
        <v>72</v>
      </c>
    </row>
  </sheetData>
  <mergeCells count="1">
    <mergeCell ref="A1:X1"/>
  </mergeCells>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7BA4FFB7-43A6-43A4-8CE0-7522BE4AC66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monthly_revenue</vt:lpstr>
      <vt:lpstr>orders_by_status</vt:lpstr>
      <vt:lpstr>payment_distribution</vt:lpstr>
      <vt:lpstr>P_monthly_revenue</vt:lpstr>
      <vt:lpstr>revenue_by_category</vt:lpstr>
      <vt:lpstr>revenue_by_state</vt:lpstr>
      <vt:lpstr>top_cities_customers</vt:lpstr>
      <vt:lpstr>P_order_by_status</vt:lpstr>
      <vt:lpstr>P_payment_distribution</vt:lpstr>
      <vt:lpstr>P_revenue_by_category</vt:lpstr>
      <vt:lpstr>P_revenue_by_state</vt:lpstr>
      <vt:lpstr>P_top_cities_customer</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Jayshree</dc:creator>
  <cp:lastModifiedBy>JayShree Patidar</cp:lastModifiedBy>
  <dcterms:created xsi:type="dcterms:W3CDTF">2015-06-05T18:17:20Z</dcterms:created>
  <dcterms:modified xsi:type="dcterms:W3CDTF">2026-03-21T15:46:46Z</dcterms:modified>
</cp:coreProperties>
</file>