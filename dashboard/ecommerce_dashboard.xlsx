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51dc9a68cc0015d2/Desktop/dashboard_1/"/>
    </mc:Choice>
  </mc:AlternateContent>
  <xr:revisionPtr revIDLastSave="3136" documentId="13_ncr:1_{A6188133-36C7-448F-81E9-FA1A37D88FCD}" xr6:coauthVersionLast="47" xr6:coauthVersionMax="47" xr10:uidLastSave="{66392EA1-E95B-4868-B4A8-37147A4349E8}"/>
  <bookViews>
    <workbookView xWindow="-108" yWindow="-108" windowWidth="23256" windowHeight="12456" firstSheet="3" activeTab="7" xr2:uid="{00000000-000D-0000-FFFF-FFFF00000000}"/>
  </bookViews>
  <sheets>
    <sheet name="monthly_revenue" sheetId="2" r:id="rId1"/>
    <sheet name="orders_by_status" sheetId="4" r:id="rId2"/>
    <sheet name="payment_distribution" sheetId="6" r:id="rId3"/>
    <sheet name="revenue_by_category" sheetId="26" r:id="rId4"/>
    <sheet name="revenue_by_state" sheetId="11" r:id="rId5"/>
    <sheet name="top_cities_customers" sheetId="13" r:id="rId6"/>
    <sheet name="pivot" sheetId="30" r:id="rId7"/>
    <sheet name="Dashboard_new" sheetId="28" r:id="rId8"/>
  </sheets>
  <definedNames>
    <definedName name="ExternalData_1" localSheetId="0" hidden="1">monthly_revenue!$A$1:$B$24</definedName>
    <definedName name="ExternalData_1" localSheetId="1" hidden="1">orders_by_status!$A$1:$B$9</definedName>
    <definedName name="ExternalData_1" localSheetId="2" hidden="1">payment_distribution!$A$1:$B$6</definedName>
    <definedName name="ExternalData_1" localSheetId="3" hidden="1">revenue_by_category!$A$1:$B$6</definedName>
    <definedName name="ExternalData_1" localSheetId="4" hidden="1">'revenue_by_state'!$A$1:$B$28</definedName>
    <definedName name="ExternalData_1" localSheetId="5" hidden="1">top_cities_customers!$A$1:$B$11</definedName>
    <definedName name="Slicer_Years__month">#N/A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30" l="1"/>
  <c r="H19" i="30"/>
  <c r="B28" i="30"/>
  <c r="I27" i="3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EC610C-E45F-411E-810A-C5F11C7B094D}" keepAlive="1" name="Query - monthly_revenue" description="Connection to the 'monthly_revenue' query in the workbook." type="5" refreshedVersion="8" background="1" saveData="1">
    <dbPr connection="Provider=Microsoft.Mashup.OleDb.1;Data Source=$Workbook$;Location=monthly_revenue;Extended Properties=&quot;&quot;" command="SELECT * FROM [monthly_revenue]"/>
  </connection>
  <connection id="2" xr16:uid="{CAFA2A2E-2256-40DE-BDB9-55E2B26DBBE9}" keepAlive="1" name="Query - orders_by_status" description="Connection to the 'orders_by_status' query in the workbook." type="5" refreshedVersion="8" background="1" saveData="1">
    <dbPr connection="Provider=Microsoft.Mashup.OleDb.1;Data Source=$Workbook$;Location=orders_by_status;Extended Properties=&quot;&quot;" command="SELECT * FROM [orders_by_status]"/>
  </connection>
  <connection id="3" xr16:uid="{B752DC2F-7ED2-43AF-AB98-408BDA3E3FEB}" keepAlive="1" name="Query - payment_distribution" description="Connection to the 'payment_distribution' query in the workbook." type="5" refreshedVersion="8" background="1" saveData="1">
    <dbPr connection="Provider=Microsoft.Mashup.OleDb.1;Data Source=$Workbook$;Location=payment_distribution;Extended Properties=&quot;&quot;" command="SELECT * FROM [payment_distribution]"/>
  </connection>
  <connection id="4" xr16:uid="{C83F3A2D-98DB-4AF3-9257-94321F250A66}" keepAlive="1" name="Query - revenue_by_category" description="Connection to the 'revenue_by_category' query in the workbook." type="5" refreshedVersion="8" background="1" saveData="1">
    <dbPr connection="Provider=Microsoft.Mashup.OleDb.1;Data Source=$Workbook$;Location=revenue_by_category;Extended Properties=&quot;&quot;" command="SELECT * FROM [revenue_by_category]"/>
  </connection>
  <connection id="5" xr16:uid="{E075C14B-DB44-44C7-873D-FBEF1858C3D7}" keepAlive="1" name="Query - revenue_by_category (2)" description="Connection to the 'revenue_by_category (2)' query in the workbook." type="5" refreshedVersion="8" background="1" saveData="1">
    <dbPr connection="Provider=Microsoft.Mashup.OleDb.1;Data Source=$Workbook$;Location=&quot;revenue_by_category (2)&quot;;Extended Properties=&quot;&quot;" command="SELECT * FROM [revenue_by_category (2)]"/>
  </connection>
  <connection id="6" xr16:uid="{86A7DCD5-6895-465E-AD56-12CAC8DBCC91}" keepAlive="1" name="Query - revenue_by_category (3)" description="Connection to the 'revenue_by_category (3)' query in the workbook." type="5" refreshedVersion="8" background="1" saveData="1">
    <dbPr connection="Provider=Microsoft.Mashup.OleDb.1;Data Source=$Workbook$;Location=&quot;revenue_by_category (3)&quot;;Extended Properties=&quot;&quot;" command="SELECT * FROM [revenue_by_category (3)]"/>
  </connection>
  <connection id="7" xr16:uid="{02DAFD84-6B72-4E4E-AD84-8105FA5FBA7E}" keepAlive="1" name="Query - revenue_by_state" description="Connection to the 'revenue_by_state' query in the workbook." type="5" refreshedVersion="8" background="1" saveData="1">
    <dbPr connection="Provider=Microsoft.Mashup.OleDb.1;Data Source=$Workbook$;Location=revenue_by_state;Extended Properties=&quot;&quot;" command="SELECT * FROM [revenue_by_state]"/>
  </connection>
  <connection id="8" xr16:uid="{C5E890B2-E6A1-48E0-A43E-A1286D0FE24C}" keepAlive="1" name="Query - top_cities_customers" description="Connection to the 'top_cities_customers' query in the workbook." type="5" refreshedVersion="8" background="1" saveData="1">
    <dbPr connection="Provider=Microsoft.Mashup.OleDb.1;Data Source=$Workbook$;Location=top_cities_customers;Extended Properties=&quot;&quot;" command="SELECT * FROM [top_cities_customers]"/>
  </connection>
  <connection id="9" xr16:uid="{0D44B570-5B34-44F8-8162-E8F4799A6CCD}" keepAlive="1" name="Query - top_customers" description="Connection to the 'top_customers' query in the workbook." type="5" refreshedVersion="8" background="1" saveData="1">
    <dbPr connection="Provider=Microsoft.Mashup.OleDb.1;Data Source=$Workbook$;Location=top_customers;Extended Properties=&quot;&quot;" command="SELECT * FROM [top_customers]"/>
  </connection>
  <connection id="10" xr16:uid="{2013E86D-5377-4556-9A42-9B43E7EA4AB7}" keepAlive="1" name="Query - top_products" description="Connection to the 'top_products' query in the workbook." type="5" refreshedVersion="8" background="1" saveData="1">
    <dbPr connection="Provider=Microsoft.Mashup.OleDb.1;Data Source=$Workbook$;Location=top_products;Extended Properties=&quot;&quot;" command="SELECT * FROM [top_products]"/>
  </connection>
</connections>
</file>

<file path=xl/sharedStrings.xml><?xml version="1.0" encoding="utf-8"?>
<sst xmlns="http://schemas.openxmlformats.org/spreadsheetml/2006/main" count="128" uniqueCount="89">
  <si>
    <t>month</t>
  </si>
  <si>
    <t>monthly_revenue</t>
  </si>
  <si>
    <t>Row Labels</t>
  </si>
  <si>
    <t>order_status</t>
  </si>
  <si>
    <t>total_orders</t>
  </si>
  <si>
    <t>delivered</t>
  </si>
  <si>
    <t>shipped</t>
  </si>
  <si>
    <t>canceled</t>
  </si>
  <si>
    <t>unavailable</t>
  </si>
  <si>
    <t>invoiced</t>
  </si>
  <si>
    <t>processing</t>
  </si>
  <si>
    <t>created</t>
  </si>
  <si>
    <t>approved</t>
  </si>
  <si>
    <t>Sum of total_orders</t>
  </si>
  <si>
    <t>payment_type</t>
  </si>
  <si>
    <t>total_payments</t>
  </si>
  <si>
    <t>credit_card</t>
  </si>
  <si>
    <t>boleto</t>
  </si>
  <si>
    <t>voucher</t>
  </si>
  <si>
    <t>debit_card</t>
  </si>
  <si>
    <t>not_defined</t>
  </si>
  <si>
    <t>Sum of total_payments</t>
  </si>
  <si>
    <t>product_category_name</t>
  </si>
  <si>
    <t>total_revenue</t>
  </si>
  <si>
    <t>beleza_saude</t>
  </si>
  <si>
    <t>cama_mesa_banho</t>
  </si>
  <si>
    <t>esporte_lazer</t>
  </si>
  <si>
    <t>moveis_decoracao</t>
  </si>
  <si>
    <t>utilidades_domesticas</t>
  </si>
  <si>
    <t>Sum of total_revenue</t>
  </si>
  <si>
    <t>customer_state</t>
  </si>
  <si>
    <t>SP</t>
  </si>
  <si>
    <t>RJ</t>
  </si>
  <si>
    <t>MG</t>
  </si>
  <si>
    <t>RS</t>
  </si>
  <si>
    <t>PR</t>
  </si>
  <si>
    <t>SC</t>
  </si>
  <si>
    <t>BA</t>
  </si>
  <si>
    <t>DF</t>
  </si>
  <si>
    <t>GO</t>
  </si>
  <si>
    <t>ES</t>
  </si>
  <si>
    <t>PE</t>
  </si>
  <si>
    <t>CE</t>
  </si>
  <si>
    <t>PA</t>
  </si>
  <si>
    <t>MT</t>
  </si>
  <si>
    <t>MA</t>
  </si>
  <si>
    <t>MS</t>
  </si>
  <si>
    <t>PB</t>
  </si>
  <si>
    <t>PI</t>
  </si>
  <si>
    <t>RN</t>
  </si>
  <si>
    <t>AL</t>
  </si>
  <si>
    <t>SE</t>
  </si>
  <si>
    <t>TO</t>
  </si>
  <si>
    <t>RO</t>
  </si>
  <si>
    <t>AM</t>
  </si>
  <si>
    <t>AC</t>
  </si>
  <si>
    <t>AP</t>
  </si>
  <si>
    <t>RR</t>
  </si>
  <si>
    <t>customer_city</t>
  </si>
  <si>
    <t>total_customers</t>
  </si>
  <si>
    <t>sao paulo</t>
  </si>
  <si>
    <t>rio de janeiro</t>
  </si>
  <si>
    <t>belo horizonte</t>
  </si>
  <si>
    <t>brasilia</t>
  </si>
  <si>
    <t>curitiba</t>
  </si>
  <si>
    <t>campinas</t>
  </si>
  <si>
    <t>porto alegre</t>
  </si>
  <si>
    <t>salvador</t>
  </si>
  <si>
    <t>guarulhos</t>
  </si>
  <si>
    <t>sao bernardo do campo</t>
  </si>
  <si>
    <t>Sum of total_customers</t>
  </si>
  <si>
    <t>total_products</t>
  </si>
  <si>
    <t>Sum of total_products</t>
  </si>
  <si>
    <t>Sum of monthly_revenue</t>
  </si>
  <si>
    <t>Jan</t>
  </si>
  <si>
    <t>Feb</t>
  </si>
  <si>
    <t>Mar</t>
  </si>
  <si>
    <t>Apr</t>
  </si>
  <si>
    <t>May</t>
  </si>
  <si>
    <t>Jun</t>
  </si>
  <si>
    <t>Jul</t>
  </si>
  <si>
    <t>Aug</t>
  </si>
  <si>
    <t>Sep</t>
  </si>
  <si>
    <t>Oct</t>
  </si>
  <si>
    <t>Nov</t>
  </si>
  <si>
    <t>Dec</t>
  </si>
  <si>
    <t>Total</t>
  </si>
  <si>
    <t>AVG Order Value</t>
  </si>
  <si>
    <t>Sum of total_orders2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</si>
</sst>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quot;k&quot;"/>
    <numFmt numFmtId="166" formatCode="[&gt;=1000000]0.0,,&quot;M&quot;;[&gt;=1000]0.0,&quot;K&quot;;0"/>
  </numFmts>
  <fonts count="4" x14ac:knownFonts="1">
    <font>
      <sz val="11"/>
      <color theme="1"/>
      <name val="Calibri"/>
      <family val="2"/>
      <scheme val="minor"/>
    </font>
    <font>
      <b/>
      <sz val="11"/>
      <color theme="1"/>
      <name val="Calibri"/>
      <family val="2"/>
      <scheme val="minor"/>
    </font>
    <font>
      <sz val="11"/>
      <color theme="3" tint="-0.499984740745262"/>
      <name val="Calibri"/>
      <family val="2"/>
      <scheme val="minor"/>
    </font>
    <font>
      <b/>
      <sz val="26"/>
      <color theme="0"/>
      <name val="Calibri"/>
      <family val="2"/>
      <scheme val="minor"/>
    </font>
  </fonts>
  <fills count="5">
    <fill>
      <patternFill patternType="none"/>
    </fill>
    <fill>
      <patternFill patternType="gray125"/>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left"/>
    </xf>
    <xf numFmtId="0" fontId="0" fillId="2" borderId="0" xfId="0" applyFill="1"/>
    <xf numFmtId="14" fontId="0" fillId="0" borderId="0" xfId="0" applyNumberFormat="1"/>
    <xf numFmtId="165" fontId="0" fillId="0" borderId="0" xfId="0" applyNumberFormat="1"/>
    <xf numFmtId="166" fontId="0" fillId="0" borderId="0" xfId="0" applyNumberFormat="1"/>
    <xf numFmtId="166" fontId="0" fillId="2" borderId="0" xfId="0" applyNumberFormat="1" applyFill="1"/>
    <xf numFmtId="165" fontId="0" fillId="2" borderId="0" xfId="0" applyNumberFormat="1" applyFill="1"/>
    <xf numFmtId="166" fontId="1" fillId="3" borderId="0" xfId="0" applyNumberFormat="1" applyFont="1" applyFill="1"/>
    <xf numFmtId="0" fontId="1" fillId="3" borderId="0" xfId="0" applyFont="1" applyFill="1" applyAlignment="1">
      <alignment horizontal="left"/>
    </xf>
    <xf numFmtId="10" fontId="0" fillId="0" borderId="0" xfId="0" applyNumberFormat="1"/>
    <xf numFmtId="0" fontId="1" fillId="4" borderId="0" xfId="0" applyFont="1" applyFill="1" applyAlignment="1">
      <alignment horizontal="left"/>
    </xf>
    <xf numFmtId="166" fontId="1" fillId="4" borderId="0" xfId="0" applyNumberFormat="1" applyFont="1" applyFill="1"/>
    <xf numFmtId="0" fontId="0" fillId="4" borderId="0" xfId="0" applyFill="1"/>
    <xf numFmtId="0" fontId="3" fillId="3" borderId="0" xfId="0" applyFont="1" applyFill="1" applyAlignment="1">
      <alignment horizontal="center"/>
    </xf>
    <xf numFmtId="0" fontId="2" fillId="3" borderId="0" xfId="0" applyFont="1" applyFill="1" applyAlignment="1">
      <alignment horizontal="center"/>
    </xf>
    <xf numFmtId="0" fontId="2" fillId="3" borderId="0" xfId="0" applyFont="1" applyFill="1"/>
    <xf numFmtId="2" fontId="1" fillId="3" borderId="0" xfId="0" applyNumberFormat="1" applyFont="1" applyFill="1"/>
    <xf numFmtId="0" fontId="1" fillId="3" borderId="0" xfId="0" applyFont="1" applyFill="1" applyAlignment="1">
      <alignment horizontal="center"/>
    </xf>
  </cellXfs>
  <cellStyles count="1">
    <cellStyle name="Normal" xfId="0" builtinId="0"/>
  </cellStyles>
  <dxfs count="32">
    <dxf>
      <fill>
        <patternFill patternType="solid">
          <bgColor theme="0" tint="-0.499984740745262"/>
        </patternFill>
      </fill>
    </dxf>
    <dxf>
      <fill>
        <patternFill patternType="solid">
          <bgColor theme="0" tint="-0.499984740745262"/>
        </patternFill>
      </fill>
    </dxf>
    <dxf>
      <numFmt numFmtId="166" formatCode="[&gt;=1000000]0.0,,&quot;M&quot;;[&gt;=1000]0.0,&quot;K&quot;;0"/>
    </dxf>
    <dxf>
      <numFmt numFmtId="166" formatCode="[&gt;=1000000]0.0,,&quot;M&quot;;[&gt;=1000]0.0,&quot;K&quot;;0"/>
    </dxf>
    <dxf>
      <fill>
        <patternFill patternType="solid">
          <bgColor theme="0" tint="-0.499984740745262"/>
        </patternFill>
      </fill>
    </dxf>
    <dxf>
      <fill>
        <patternFill patternType="solid">
          <bgColor theme="0" tint="-0.499984740745262"/>
        </patternFill>
      </fill>
    </dxf>
    <dxf>
      <numFmt numFmtId="165" formatCode="0,&quot;k&quot;"/>
    </dxf>
    <dxf>
      <numFmt numFmtId="165" formatCode="0,&quot;k&quot;"/>
    </dxf>
    <dxf>
      <fill>
        <patternFill patternType="solid">
          <bgColor theme="0" tint="-0.499984740745262"/>
        </patternFill>
      </fill>
    </dxf>
    <dxf>
      <fill>
        <patternFill patternType="solid">
          <bgColor theme="0" tint="-0.499984740745262"/>
        </patternFill>
      </fill>
    </dxf>
    <dxf>
      <numFmt numFmtId="165" formatCode="0,&quot;k&quot;"/>
    </dxf>
    <dxf>
      <numFmt numFmtId="165" formatCode="0,&quot;k&quot;"/>
    </dxf>
    <dxf>
      <numFmt numFmtId="14" formatCode="0.00%"/>
    </dxf>
    <dxf>
      <fill>
        <patternFill patternType="solid">
          <bgColor theme="0" tint="-0.499984740745262"/>
        </patternFill>
      </fill>
    </dxf>
    <dxf>
      <fill>
        <patternFill patternType="solid">
          <bgColor theme="0" tint="-0.499984740745262"/>
        </patternFill>
      </fill>
    </dxf>
    <dxf>
      <numFmt numFmtId="166" formatCode="[&gt;=1000000]0.0,,&quot;M&quot;;[&gt;=1000]0.0,&quot;K&quot;;0"/>
    </dxf>
    <dxf>
      <numFmt numFmtId="166" formatCode="[&gt;=1000000]0.0,,&quot;M&quot;;[&gt;=1000]0.0,&quot;K&quot;;0"/>
    </dxf>
    <dxf>
      <fill>
        <patternFill patternType="solid">
          <bgColor theme="0" tint="-0.499984740745262"/>
        </patternFill>
      </fill>
    </dxf>
    <dxf>
      <fill>
        <patternFill patternType="solid">
          <bgColor theme="0" tint="-0.499984740745262"/>
        </patternFill>
      </fill>
    </dxf>
    <dxf>
      <numFmt numFmtId="166" formatCode="[&gt;=1000000]0.0,,&quot;M&quot;;[&gt;=1000]0.0,&quot;K&quot;;0"/>
    </dxf>
    <dxf>
      <numFmt numFmtId="166" formatCode="[&gt;=1000000]0.0,,&quot;M&quot;;[&gt;=1000]0.0,&quot;K&quot;;0"/>
    </dxf>
    <dxf>
      <numFmt numFmtId="166" formatCode="[&gt;=1000000]0.0,,&quot;M&quot;;[&gt;=1000]0.0,&quot;K&quot;;0"/>
    </dxf>
    <dxf>
      <fill>
        <patternFill patternType="solid">
          <bgColor theme="0" tint="-0.499984740745262"/>
        </patternFill>
      </fill>
    </dxf>
    <dxf>
      <fill>
        <patternFill patternType="solid">
          <bgColor theme="0" tint="-0.499984740745262"/>
        </patternFill>
      </fill>
    </dxf>
    <dxf>
      <numFmt numFmtId="0" formatCode="General"/>
    </dxf>
    <dxf>
      <numFmt numFmtId="0" formatCode="General"/>
    </dxf>
    <dxf>
      <numFmt numFmtId="0" formatCode="General"/>
    </dxf>
    <dxf>
      <numFmt numFmtId="0" formatCode="General"/>
    </dxf>
    <dxf>
      <numFmt numFmtId="166" formatCode="[&gt;=1000000]0.0,,&quot;M&quot;;[&gt;=1000]0.0,&quot;K&quot;;0"/>
    </dxf>
    <dxf>
      <numFmt numFmtId="0" formatCode="General"/>
    </dxf>
    <dxf>
      <numFmt numFmtId="0" formatCode="General"/>
    </dxf>
    <dxf>
      <numFmt numFmtId="19" formatCode="dd/mm/yyyy"/>
    </dxf>
  </dxfs>
  <tableStyles count="0" defaultTableStyle="TableStyleMedium2" defaultPivotStyle="PivotStyleLight16"/>
  <colors>
    <mruColors>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[ecommerce_dashboard.xlsx]pivot!PivotTable7</c:name>
    <c:fmtId val="47"/>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IN"/>
              <a:t>Order Status Distribution</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7201834862385321"/>
              <c:y val="-1.16713352007469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4346179777986474E-2"/>
                  <c:h val="0.11664350779681952"/>
                </c:manualLayout>
              </c15:layout>
            </c:ext>
          </c:extLst>
        </c:dLbl>
      </c:pivotFmt>
      <c:pivotFmt>
        <c:idx val="4"/>
        <c:dLbl>
          <c:idx val="0"/>
          <c:layout>
            <c:manualLayout>
              <c:x val="0.20642201834862386"/>
              <c:y val="-4.668534080298786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4525993883792049"/>
              <c:y val="-4.6685340802988719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6.0089158263111848E-2"/>
              <c:y val="-8.4875562720133283E-17"/>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0.11085626911314984"/>
              <c:y val="-4.2794401371495775E-17"/>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0.11467889908256881"/>
              <c:y val="-8.558880274299155E-17"/>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72664272229133"/>
          <c:y val="0.17928344894388204"/>
          <c:w val="0.67170561535312678"/>
          <c:h val="0.61954571854988716"/>
        </c:manualLayout>
      </c:layout>
      <c:barChart>
        <c:barDir val="bar"/>
        <c:grouping val="stacked"/>
        <c:varyColors val="0"/>
        <c:ser>
          <c:idx val="0"/>
          <c:order val="0"/>
          <c:tx>
            <c:strRef>
              <c:f>pivot!$H$10</c:f>
              <c:strCache>
                <c:ptCount val="1"/>
                <c:pt idx="0">
                  <c:v>Sum of total_orders</c:v>
                </c:pt>
              </c:strCache>
            </c:strRef>
          </c:tx>
          <c:spPr>
            <a:solidFill>
              <a:schemeClr val="accent1"/>
            </a:solidFill>
            <a:ln>
              <a:noFill/>
            </a:ln>
            <a:effectLst/>
          </c:spPr>
          <c:invertIfNegative val="0"/>
          <c:dLbls>
            <c:delete val="1"/>
          </c:dLbls>
          <c:cat>
            <c:strRef>
              <c:f>pivot!$G$11:$G$13</c:f>
              <c:strCache>
                <c:ptCount val="3"/>
                <c:pt idx="0">
                  <c:v>delivered</c:v>
                </c:pt>
                <c:pt idx="1">
                  <c:v>shipped</c:v>
                </c:pt>
                <c:pt idx="2">
                  <c:v>canceled</c:v>
                </c:pt>
              </c:strCache>
            </c:strRef>
          </c:cat>
          <c:val>
            <c:numRef>
              <c:f>pivot!$H$11:$H$13</c:f>
              <c:numCache>
                <c:formatCode>[&gt;=1000000]0.0,,"M";[&gt;=1000]0.0,"K";0</c:formatCode>
                <c:ptCount val="3"/>
                <c:pt idx="0">
                  <c:v>96478</c:v>
                </c:pt>
                <c:pt idx="1">
                  <c:v>1107</c:v>
                </c:pt>
                <c:pt idx="2">
                  <c:v>625</c:v>
                </c:pt>
              </c:numCache>
            </c:numRef>
          </c:val>
          <c:extLst>
            <c:ext xmlns:c16="http://schemas.microsoft.com/office/drawing/2014/chart" uri="{C3380CC4-5D6E-409C-BE32-E72D297353CC}">
              <c16:uniqueId val="{00000003-8670-4BB0-BE4A-AD4D8BF891CA}"/>
            </c:ext>
          </c:extLst>
        </c:ser>
        <c:ser>
          <c:idx val="1"/>
          <c:order val="1"/>
          <c:tx>
            <c:strRef>
              <c:f>pivot!$I$10</c:f>
              <c:strCache>
                <c:ptCount val="1"/>
                <c:pt idx="0">
                  <c:v>Sum of total_orders2</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8-8670-4BB0-BE4A-AD4D8BF891C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6-8670-4BB0-BE4A-AD4D8BF891C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7-8670-4BB0-BE4A-AD4D8BF891CA}"/>
              </c:ext>
            </c:extLst>
          </c:dPt>
          <c:dLbls>
            <c:dLbl>
              <c:idx val="0"/>
              <c:layout>
                <c:manualLayout>
                  <c:x val="6.0089158263111848E-2"/>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670-4BB0-BE4A-AD4D8BF891CA}"/>
                </c:ext>
              </c:extLst>
            </c:dLbl>
            <c:dLbl>
              <c:idx val="1"/>
              <c:layout>
                <c:manualLayout>
                  <c:x val="0.11085626911314984"/>
                  <c:y val="-4.279440137149577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70-4BB0-BE4A-AD4D8BF891CA}"/>
                </c:ext>
              </c:extLst>
            </c:dLbl>
            <c:dLbl>
              <c:idx val="2"/>
              <c:layout>
                <c:manualLayout>
                  <c:x val="0.11467889908256881"/>
                  <c:y val="-8.55888027429915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70-4BB0-BE4A-AD4D8BF891CA}"/>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pivot!$G$11:$G$13</c:f>
              <c:strCache>
                <c:ptCount val="3"/>
                <c:pt idx="0">
                  <c:v>delivered</c:v>
                </c:pt>
                <c:pt idx="1">
                  <c:v>shipped</c:v>
                </c:pt>
                <c:pt idx="2">
                  <c:v>canceled</c:v>
                </c:pt>
              </c:strCache>
            </c:strRef>
          </c:cat>
          <c:val>
            <c:numRef>
              <c:f>pivot!$I$11:$I$13</c:f>
              <c:numCache>
                <c:formatCode>0.00%</c:formatCode>
                <c:ptCount val="3"/>
                <c:pt idx="0">
                  <c:v>0.98236432135220442</c:v>
                </c:pt>
                <c:pt idx="1">
                  <c:v>1.127176458609103E-2</c:v>
                </c:pt>
                <c:pt idx="2">
                  <c:v>6.3639140617045105E-3</c:v>
                </c:pt>
              </c:numCache>
            </c:numRef>
          </c:val>
          <c:extLst>
            <c:ext xmlns:c16="http://schemas.microsoft.com/office/drawing/2014/chart" uri="{C3380CC4-5D6E-409C-BE32-E72D297353CC}">
              <c16:uniqueId val="{00000004-8670-4BB0-BE4A-AD4D8BF891CA}"/>
            </c:ext>
          </c:extLst>
        </c:ser>
        <c:dLbls>
          <c:dLblPos val="ctr"/>
          <c:showLegendKey val="0"/>
          <c:showVal val="1"/>
          <c:showCatName val="0"/>
          <c:showSerName val="0"/>
          <c:showPercent val="0"/>
          <c:showBubbleSize val="0"/>
        </c:dLbls>
        <c:gapWidth val="150"/>
        <c:overlap val="100"/>
        <c:axId val="2020292992"/>
        <c:axId val="2020309792"/>
      </c:barChart>
      <c:catAx>
        <c:axId val="2020292992"/>
        <c:scaling>
          <c:orientation val="minMax"/>
        </c:scaling>
        <c:delete val="0"/>
        <c:axPos val="l"/>
        <c:title>
          <c:tx>
            <c:rich>
              <a:bodyPr rot="-5400000" spcFirstLastPara="1" vertOverflow="ellipsis" vert="horz" wrap="square" anchor="ctr" anchorCtr="1"/>
              <a:lstStyle/>
              <a:p>
                <a:pPr algn="ctr" rtl="0">
                  <a:defRPr sz="1000" b="0" i="0" u="none" strike="noStrike" kern="1200" baseline="0">
                    <a:solidFill>
                      <a:schemeClr val="dk1"/>
                    </a:solidFill>
                    <a:latin typeface="+mn-lt"/>
                    <a:ea typeface="+mn-ea"/>
                    <a:cs typeface="+mn-cs"/>
                  </a:defRPr>
                </a:pPr>
                <a:r>
                  <a:rPr lang="en-IN"/>
                  <a:t>Order Status</a:t>
                </a:r>
              </a:p>
            </c:rich>
          </c:tx>
          <c:layout>
            <c:manualLayout>
              <c:xMode val="edge"/>
              <c:yMode val="edge"/>
              <c:x val="3.3680987245015427E-2"/>
              <c:y val="0.37325828989686144"/>
            </c:manualLayout>
          </c:layout>
          <c:overlay val="0"/>
          <c:spPr>
            <a:noFill/>
            <a:ln>
              <a:noFill/>
            </a:ln>
            <a:effectLst/>
          </c:spPr>
          <c:txPr>
            <a:bodyPr rot="-5400000" spcFirstLastPara="1" vertOverflow="ellipsis" vert="horz" wrap="square" anchor="ctr" anchorCtr="1"/>
            <a:lstStyle/>
            <a:p>
              <a:pPr algn="ctr" rtl="0">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20309792"/>
        <c:crosses val="autoZero"/>
        <c:auto val="1"/>
        <c:lblAlgn val="ctr"/>
        <c:lblOffset val="100"/>
        <c:noMultiLvlLbl val="0"/>
      </c:catAx>
      <c:valAx>
        <c:axId val="2020309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Number of Orders</a:t>
                </a:r>
              </a:p>
            </c:rich>
          </c:tx>
          <c:layout>
            <c:manualLayout>
              <c:xMode val="edge"/>
              <c:yMode val="edge"/>
              <c:x val="0.42177902104342219"/>
              <c:y val="0.907741303463827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t;=1000000]0.0,,&quot;M&quot;;[&gt;=10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20292992"/>
        <c:crosses val="autoZero"/>
        <c:crossBetween val="between"/>
        <c:min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2">
          <a:lumMod val="60000"/>
          <a:lumOff val="40000"/>
        </a:schemeClr>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[ecommerce_dashboard.xlsx]pivot!PivotTable9</c:name>
    <c:fmtId val="3"/>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IN"/>
              <a:t>Products Sold by Category</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54693249998866"/>
          <c:y val="0.19232553651381809"/>
          <c:w val="0.57632425487923"/>
          <c:h val="0.55468138204035966"/>
        </c:manualLayout>
      </c:layout>
      <c:barChart>
        <c:barDir val="bar"/>
        <c:grouping val="clustered"/>
        <c:varyColors val="0"/>
        <c:ser>
          <c:idx val="0"/>
          <c:order val="0"/>
          <c:tx>
            <c:strRef>
              <c:f>pivot!$H$1</c:f>
              <c:strCache>
                <c:ptCount val="1"/>
                <c:pt idx="0">
                  <c:v>Total</c:v>
                </c:pt>
              </c:strCache>
            </c:strRef>
          </c:tx>
          <c:spPr>
            <a:solidFill>
              <a:schemeClr val="accent1"/>
            </a:solidFill>
            <a:ln>
              <a:noFill/>
            </a:ln>
            <a:effectLst/>
          </c:spPr>
          <c:invertIfNegative val="0"/>
          <c:cat>
            <c:strRef>
              <c:f>pivot!$G$2:$G$6</c:f>
              <c:strCache>
                <c:ptCount val="5"/>
                <c:pt idx="0">
                  <c:v>cama_mesa_banho</c:v>
                </c:pt>
                <c:pt idx="1">
                  <c:v>esporte_lazer</c:v>
                </c:pt>
                <c:pt idx="2">
                  <c:v>moveis_decoracao</c:v>
                </c:pt>
                <c:pt idx="3">
                  <c:v>beleza_saude</c:v>
                </c:pt>
                <c:pt idx="4">
                  <c:v>utilidades_domesticas</c:v>
                </c:pt>
              </c:strCache>
            </c:strRef>
          </c:cat>
          <c:val>
            <c:numRef>
              <c:f>pivot!$H$2:$H$6</c:f>
              <c:numCache>
                <c:formatCode>0,"k"</c:formatCode>
                <c:ptCount val="5"/>
                <c:pt idx="0">
                  <c:v>3029</c:v>
                </c:pt>
                <c:pt idx="1">
                  <c:v>2867</c:v>
                </c:pt>
                <c:pt idx="2">
                  <c:v>2657</c:v>
                </c:pt>
                <c:pt idx="3">
                  <c:v>2444</c:v>
                </c:pt>
                <c:pt idx="4">
                  <c:v>2335</c:v>
                </c:pt>
              </c:numCache>
            </c:numRef>
          </c:val>
          <c:extLst>
            <c:ext xmlns:c16="http://schemas.microsoft.com/office/drawing/2014/chart" uri="{C3380CC4-5D6E-409C-BE32-E72D297353CC}">
              <c16:uniqueId val="{00000000-DD84-4278-BC3F-CC1A2785335B}"/>
            </c:ext>
          </c:extLst>
        </c:ser>
        <c:dLbls>
          <c:showLegendKey val="0"/>
          <c:showVal val="0"/>
          <c:showCatName val="0"/>
          <c:showSerName val="0"/>
          <c:showPercent val="0"/>
          <c:showBubbleSize val="0"/>
        </c:dLbls>
        <c:gapWidth val="182"/>
        <c:axId val="2001913920"/>
        <c:axId val="2001914880"/>
      </c:barChart>
      <c:catAx>
        <c:axId val="2001913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Category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01914880"/>
        <c:crosses val="autoZero"/>
        <c:auto val="1"/>
        <c:lblAlgn val="ctr"/>
        <c:lblOffset val="100"/>
        <c:noMultiLvlLbl val="0"/>
      </c:catAx>
      <c:valAx>
        <c:axId val="2001914880"/>
        <c:scaling>
          <c:orientation val="minMax"/>
        </c:scaling>
        <c:delete val="0"/>
        <c:axPos val="b"/>
        <c:title>
          <c:tx>
            <c:rich>
              <a:bodyPr rot="0" spcFirstLastPara="1" vertOverflow="ellipsis" vert="horz" wrap="square" anchor="ctr" anchorCtr="1"/>
              <a:lstStyle/>
              <a:p>
                <a:pPr algn="ctr" rtl="0">
                  <a:defRPr sz="1000" b="0" i="0" u="none" strike="noStrike" kern="1200" baseline="0">
                    <a:solidFill>
                      <a:schemeClr val="dk1"/>
                    </a:solidFill>
                    <a:latin typeface="+mn-lt"/>
                    <a:ea typeface="+mn-ea"/>
                    <a:cs typeface="+mn-cs"/>
                  </a:defRPr>
                </a:pPr>
                <a:r>
                  <a:rPr lang="en-IN"/>
                  <a:t>Products Sold</a:t>
                </a:r>
              </a:p>
              <a:p>
                <a:pPr algn="ctr" rtl="0">
                  <a:defRPr/>
                </a:pPr>
                <a:endParaRPr lang="en-IN"/>
              </a:p>
            </c:rich>
          </c:tx>
          <c:layout>
            <c:manualLayout>
              <c:xMode val="edge"/>
              <c:yMode val="edge"/>
              <c:x val="0.38161455987845538"/>
              <c:y val="0.85582213987957367"/>
            </c:manualLayout>
          </c:layout>
          <c:overlay val="0"/>
          <c:spPr>
            <a:noFill/>
            <a:ln>
              <a:noFill/>
            </a:ln>
            <a:effectLst/>
          </c:spPr>
          <c:txPr>
            <a:bodyPr rot="0" spcFirstLastPara="1" vertOverflow="ellipsis" vert="horz" wrap="square" anchor="ctr" anchorCtr="1"/>
            <a:lstStyle/>
            <a:p>
              <a:pPr algn="ctr" rtl="0">
                <a:defRPr sz="1000" b="0" i="0" u="none" strike="noStrike" kern="1200" baseline="0">
                  <a:solidFill>
                    <a:schemeClr val="dk1"/>
                  </a:solidFill>
                  <a:latin typeface="+mn-lt"/>
                  <a:ea typeface="+mn-ea"/>
                  <a:cs typeface="+mn-cs"/>
                </a:defRPr>
              </a:pPr>
              <a:endParaRPr lang="en-US"/>
            </a:p>
          </c:txPr>
        </c:title>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0191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2">
          <a:lumMod val="60000"/>
          <a:lumOff val="40000"/>
        </a:schemeClr>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[ecommerce_dashboard.xlsx]pivot!PivotTable10</c:name>
    <c:fmtId val="7"/>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IN"/>
              <a:t>Revenue by State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11468656434312"/>
          <c:y val="0.18965770871561408"/>
          <c:w val="0.80726618547681539"/>
          <c:h val="0.62271617089530473"/>
        </c:manualLayout>
      </c:layout>
      <c:barChart>
        <c:barDir val="col"/>
        <c:grouping val="stacked"/>
        <c:varyColors val="0"/>
        <c:ser>
          <c:idx val="0"/>
          <c:order val="0"/>
          <c:tx>
            <c:strRef>
              <c:f>pivot!$E$1</c:f>
              <c:strCache>
                <c:ptCount val="1"/>
                <c:pt idx="0">
                  <c:v>Total</c:v>
                </c:pt>
              </c:strCache>
            </c:strRef>
          </c:tx>
          <c:spPr>
            <a:solidFill>
              <a:schemeClr val="accent1"/>
            </a:solidFill>
            <a:ln>
              <a:noFill/>
            </a:ln>
            <a:effectLst/>
          </c:spPr>
          <c:invertIfNegative val="0"/>
          <c:cat>
            <c:strRef>
              <c:f>pivot!$D$2:$D$11</c:f>
              <c:strCache>
                <c:ptCount val="10"/>
                <c:pt idx="0">
                  <c:v>SP</c:v>
                </c:pt>
                <c:pt idx="1">
                  <c:v>RJ</c:v>
                </c:pt>
                <c:pt idx="2">
                  <c:v>MG</c:v>
                </c:pt>
                <c:pt idx="3">
                  <c:v>RS</c:v>
                </c:pt>
                <c:pt idx="4">
                  <c:v>PR</c:v>
                </c:pt>
                <c:pt idx="5">
                  <c:v>SC</c:v>
                </c:pt>
                <c:pt idx="6">
                  <c:v>BA</c:v>
                </c:pt>
                <c:pt idx="7">
                  <c:v>DF</c:v>
                </c:pt>
                <c:pt idx="8">
                  <c:v>GO</c:v>
                </c:pt>
                <c:pt idx="9">
                  <c:v>ES</c:v>
                </c:pt>
              </c:strCache>
            </c:strRef>
          </c:cat>
          <c:val>
            <c:numRef>
              <c:f>pivot!$E$2:$E$11</c:f>
              <c:numCache>
                <c:formatCode>0,"k"</c:formatCode>
                <c:ptCount val="10"/>
                <c:pt idx="0">
                  <c:v>5202955.05</c:v>
                </c:pt>
                <c:pt idx="1">
                  <c:v>1824092.67</c:v>
                </c:pt>
                <c:pt idx="2">
                  <c:v>1585308.03</c:v>
                </c:pt>
                <c:pt idx="3">
                  <c:v>750304.02</c:v>
                </c:pt>
                <c:pt idx="4">
                  <c:v>683083.76</c:v>
                </c:pt>
                <c:pt idx="5">
                  <c:v>520553.34</c:v>
                </c:pt>
                <c:pt idx="6">
                  <c:v>511349.99</c:v>
                </c:pt>
                <c:pt idx="7">
                  <c:v>302603.94</c:v>
                </c:pt>
                <c:pt idx="8">
                  <c:v>294591.95</c:v>
                </c:pt>
                <c:pt idx="9">
                  <c:v>275037.31</c:v>
                </c:pt>
              </c:numCache>
            </c:numRef>
          </c:val>
          <c:extLst>
            <c:ext xmlns:c16="http://schemas.microsoft.com/office/drawing/2014/chart" uri="{C3380CC4-5D6E-409C-BE32-E72D297353CC}">
              <c16:uniqueId val="{00000000-EE0F-431B-A8A9-C9DF56F699F9}"/>
            </c:ext>
          </c:extLst>
        </c:ser>
        <c:dLbls>
          <c:showLegendKey val="0"/>
          <c:showVal val="0"/>
          <c:showCatName val="0"/>
          <c:showSerName val="0"/>
          <c:showPercent val="0"/>
          <c:showBubbleSize val="0"/>
        </c:dLbls>
        <c:gapWidth val="219"/>
        <c:overlap val="100"/>
        <c:axId val="1623309712"/>
        <c:axId val="1623311632"/>
      </c:barChart>
      <c:catAx>
        <c:axId val="1623309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States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23311632"/>
        <c:crosses val="autoZero"/>
        <c:auto val="1"/>
        <c:lblAlgn val="ctr"/>
        <c:lblOffset val="100"/>
        <c:noMultiLvlLbl val="0"/>
      </c:catAx>
      <c:valAx>
        <c:axId val="1623311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Revenue</a:t>
                </a:r>
              </a:p>
            </c:rich>
          </c:tx>
          <c:layout>
            <c:manualLayout>
              <c:xMode val="edge"/>
              <c:yMode val="edge"/>
              <c:x val="1.831170449029387E-2"/>
              <c:y val="0.404211475777917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2330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2">
          <a:lumMod val="60000"/>
          <a:lumOff val="40000"/>
        </a:schemeClr>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[ecommerce_dashboard.xlsx]pivot!PivotTable17</c:name>
    <c:fmtId val="12"/>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IN"/>
              <a:t>Top Cities by Customers</a:t>
            </a:r>
          </a:p>
          <a:p>
            <a:pPr algn="ctr" rtl="0">
              <a:defRPr/>
            </a:pPr>
            <a:endParaRPr lang="en-IN"/>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13070138329761"/>
          <c:y val="0.13520361585236629"/>
          <c:w val="0.59914720034995628"/>
          <c:h val="0.62271617089530473"/>
        </c:manualLayout>
      </c:layout>
      <c:barChart>
        <c:barDir val="bar"/>
        <c:grouping val="stacked"/>
        <c:varyColors val="0"/>
        <c:ser>
          <c:idx val="0"/>
          <c:order val="0"/>
          <c:tx>
            <c:strRef>
              <c:f>pivot!$B$17</c:f>
              <c:strCache>
                <c:ptCount val="1"/>
                <c:pt idx="0">
                  <c:v>Total</c:v>
                </c:pt>
              </c:strCache>
            </c:strRef>
          </c:tx>
          <c:spPr>
            <a:solidFill>
              <a:schemeClr val="accent1"/>
            </a:solidFill>
            <a:ln>
              <a:noFill/>
            </a:ln>
            <a:effectLst/>
          </c:spPr>
          <c:invertIfNegative val="0"/>
          <c:cat>
            <c:strRef>
              <c:f>pivot!$A$18:$A$27</c:f>
              <c:strCache>
                <c:ptCount val="10"/>
                <c:pt idx="0">
                  <c:v>sao bernardo do campo</c:v>
                </c:pt>
                <c:pt idx="1">
                  <c:v>guarulhos</c:v>
                </c:pt>
                <c:pt idx="2">
                  <c:v>salvador</c:v>
                </c:pt>
                <c:pt idx="3">
                  <c:v>porto alegre</c:v>
                </c:pt>
                <c:pt idx="4">
                  <c:v>campinas</c:v>
                </c:pt>
                <c:pt idx="5">
                  <c:v>curitiba</c:v>
                </c:pt>
                <c:pt idx="6">
                  <c:v>brasilia</c:v>
                </c:pt>
                <c:pt idx="7">
                  <c:v>belo horizonte</c:v>
                </c:pt>
                <c:pt idx="8">
                  <c:v>rio de janeiro</c:v>
                </c:pt>
                <c:pt idx="9">
                  <c:v>sao paulo</c:v>
                </c:pt>
              </c:strCache>
            </c:strRef>
          </c:cat>
          <c:val>
            <c:numRef>
              <c:f>pivot!$B$18:$B$27</c:f>
              <c:numCache>
                <c:formatCode>[&gt;=1000000]0.0,,"M";[&gt;=1000]0.0,"K";0</c:formatCode>
                <c:ptCount val="10"/>
                <c:pt idx="0">
                  <c:v>938</c:v>
                </c:pt>
                <c:pt idx="1">
                  <c:v>1189</c:v>
                </c:pt>
                <c:pt idx="2">
                  <c:v>1245</c:v>
                </c:pt>
                <c:pt idx="3">
                  <c:v>1379</c:v>
                </c:pt>
                <c:pt idx="4">
                  <c:v>1444</c:v>
                </c:pt>
                <c:pt idx="5">
                  <c:v>1521</c:v>
                </c:pt>
                <c:pt idx="6">
                  <c:v>2131</c:v>
                </c:pt>
                <c:pt idx="7">
                  <c:v>2773</c:v>
                </c:pt>
                <c:pt idx="8">
                  <c:v>6882</c:v>
                </c:pt>
                <c:pt idx="9">
                  <c:v>15540</c:v>
                </c:pt>
              </c:numCache>
            </c:numRef>
          </c:val>
          <c:extLst>
            <c:ext xmlns:c16="http://schemas.microsoft.com/office/drawing/2014/chart" uri="{C3380CC4-5D6E-409C-BE32-E72D297353CC}">
              <c16:uniqueId val="{00000000-3843-4805-89FE-3F463DB6796C}"/>
            </c:ext>
          </c:extLst>
        </c:ser>
        <c:dLbls>
          <c:showLegendKey val="0"/>
          <c:showVal val="0"/>
          <c:showCatName val="0"/>
          <c:showSerName val="0"/>
          <c:showPercent val="0"/>
          <c:showBubbleSize val="0"/>
        </c:dLbls>
        <c:gapWidth val="150"/>
        <c:overlap val="100"/>
        <c:axId val="1801472928"/>
        <c:axId val="1801473408"/>
      </c:barChart>
      <c:catAx>
        <c:axId val="1801472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Cities</a:t>
                </a:r>
              </a:p>
            </c:rich>
          </c:tx>
          <c:layout>
            <c:manualLayout>
              <c:xMode val="edge"/>
              <c:yMode val="edge"/>
              <c:x val="1.6025641025641024E-2"/>
              <c:y val="0.375891360718464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1473408"/>
        <c:crosses val="autoZero"/>
        <c:auto val="1"/>
        <c:lblAlgn val="ctr"/>
        <c:lblOffset val="100"/>
        <c:noMultiLvlLbl val="0"/>
      </c:catAx>
      <c:valAx>
        <c:axId val="1801473408"/>
        <c:scaling>
          <c:orientation val="minMax"/>
        </c:scaling>
        <c:delete val="0"/>
        <c:axPos val="b"/>
        <c:title>
          <c:tx>
            <c:rich>
              <a:bodyPr rot="0" spcFirstLastPara="1" vertOverflow="ellipsis" vert="horz" wrap="square" anchor="ctr" anchorCtr="1"/>
              <a:lstStyle/>
              <a:p>
                <a:pPr algn="ctr" rtl="0">
                  <a:defRPr sz="1000" b="0" i="0" u="none" strike="noStrike" kern="1200" baseline="0">
                    <a:solidFill>
                      <a:schemeClr val="dk1"/>
                    </a:solidFill>
                    <a:latin typeface="+mn-lt"/>
                    <a:ea typeface="+mn-ea"/>
                    <a:cs typeface="+mn-cs"/>
                  </a:defRPr>
                </a:pPr>
                <a:r>
                  <a:rPr lang="en-US"/>
                  <a:t>Number of Customers</a:t>
                </a:r>
              </a:p>
            </c:rich>
          </c:tx>
          <c:layout>
            <c:manualLayout>
              <c:xMode val="edge"/>
              <c:yMode val="edge"/>
              <c:x val="0.35066689380173632"/>
              <c:y val="0.90951759795085851"/>
            </c:manualLayout>
          </c:layout>
          <c:overlay val="0"/>
          <c:spPr>
            <a:noFill/>
            <a:ln>
              <a:noFill/>
            </a:ln>
            <a:effectLst/>
          </c:spPr>
          <c:txPr>
            <a:bodyPr rot="0" spcFirstLastPara="1" vertOverflow="ellipsis" vert="horz" wrap="square" anchor="ctr" anchorCtr="1"/>
            <a:lstStyle/>
            <a:p>
              <a:pPr algn="ctr" rtl="0">
                <a:defRPr sz="1000" b="0" i="0" u="none" strike="noStrike" kern="1200" baseline="0">
                  <a:solidFill>
                    <a:schemeClr val="dk1"/>
                  </a:solidFill>
                  <a:latin typeface="+mn-lt"/>
                  <a:ea typeface="+mn-ea"/>
                  <a:cs typeface="+mn-cs"/>
                </a:defRPr>
              </a:pPr>
              <a:endParaRPr lang="en-US"/>
            </a:p>
          </c:txPr>
        </c:title>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147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2">
          <a:lumMod val="60000"/>
          <a:lumOff val="40000"/>
        </a:schemeClr>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[ecommerce_dashboard.xlsx]pivot!PivotTable18</c:name>
    <c:fmtId val="3"/>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IN"/>
              <a:t>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pivotFmt>
      <c:pivotFmt>
        <c:idx val="1"/>
      </c:pivotFmt>
      <c:pivotFmt>
        <c:idx val="2"/>
        <c:spPr>
          <a:solidFill>
            <a:schemeClr val="accent1">
              <a:lumMod val="40000"/>
              <a:lumOff val="60000"/>
            </a:schemeClr>
          </a:solidFill>
          <a:ln w="19050">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lumMod val="75000"/>
            </a:schemeClr>
          </a:solidFill>
          <a:ln w="19050">
            <a:solidFill>
              <a:schemeClr val="accent1"/>
            </a:solidFill>
          </a:ln>
          <a:effectLst/>
        </c:spPr>
        <c:dLbl>
          <c:idx val="0"/>
          <c:layout>
            <c:manualLayout>
              <c:x val="7.2024737849797613E-2"/>
              <c:y val="0.18339548201295133"/>
            </c:manualLayout>
          </c:layout>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fld id="{B9863862-6D1A-40C7-BBC3-149E276F7A84}" type="CATEGORYNAME">
                  <a:rPr lang="en-US"/>
                  <a:pPr>
                    <a:defRPr/>
                  </a:pPr>
                  <a:t>[CATEGORY NAME]</a:t>
                </a:fld>
                <a:r>
                  <a:rPr lang="en-US"/>
                  <a:t>
</a:t>
                </a:r>
                <a:fld id="{A1089F73-40E6-4BD4-9B61-DD240A661B55}"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lumMod val="60000"/>
              <a:lumOff val="40000"/>
            </a:schemeClr>
          </a:solidFill>
          <a:ln w="19050">
            <a:solidFill>
              <a:schemeClr val="accent1"/>
            </a:solidFill>
          </a:ln>
          <a:effectLst/>
        </c:spPr>
        <c:dLbl>
          <c:idx val="0"/>
          <c:layout>
            <c:manualLayout>
              <c:x val="-0.13260563993481858"/>
              <c:y val="-4.2981638394566493E-2"/>
            </c:manualLayout>
          </c:layout>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fld id="{2EEB8508-143D-4334-B94B-B25CF6BCD5EE}" type="CATEGORYNAME">
                  <a:rPr lang="en-US"/>
                  <a:pPr>
                    <a:defRPr/>
                  </a:pPr>
                  <a:t>[CATEGORY NAME]</a:t>
                </a:fld>
                <a:r>
                  <a:rPr lang="en-US"/>
                  <a:t>
</a:t>
                </a:r>
                <a:fld id="{42A0F3D3-6996-4EA4-898D-9DD60C0D52D4}"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lumMod val="40000"/>
              <a:lumOff val="60000"/>
            </a:schemeClr>
          </a:solidFill>
          <a:ln w="19050">
            <a:solidFill>
              <a:schemeClr val="accent1"/>
            </a:solidFill>
          </a:ln>
          <a:effectLst/>
        </c:spPr>
        <c:dLbl>
          <c:idx val="0"/>
          <c:layout>
            <c:manualLayout>
              <c:x val="-0.11447811447811448"/>
              <c:y val="-0.10946081532052261"/>
            </c:manualLayout>
          </c:layout>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fld id="{6A86467C-6309-49BC-B73E-79A295DDFA7B}" type="CATEGORYNAME">
                  <a:rPr lang="en-US"/>
                  <a:pPr>
                    <a:defRPr/>
                  </a:pPr>
                  <a:t>[CATEGORY NAME]</a:t>
                </a:fld>
                <a:r>
                  <a:rPr lang="en-US"/>
                  <a:t>
</a:t>
                </a:r>
                <a:fld id="{A1B12850-02C4-42A2-BF01-5ABB479CB97E}"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lumMod val="20000"/>
              <a:lumOff val="80000"/>
            </a:schemeClr>
          </a:solidFill>
          <a:ln w="19050">
            <a:solidFill>
              <a:schemeClr val="accent1"/>
            </a:solidFill>
          </a:ln>
          <a:effectLst/>
        </c:spPr>
        <c:dLbl>
          <c:idx val="0"/>
          <c:layout>
            <c:manualLayout>
              <c:x val="0.20044632102146651"/>
              <c:y val="-0.11869442566216623"/>
            </c:manualLayout>
          </c:layout>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fld id="{FC5FCD0A-2689-446F-9CE5-F97F4FB0E659}" type="CATEGORYNAME">
                  <a:rPr lang="en-US"/>
                  <a:pPr>
                    <a:defRPr/>
                  </a:pPr>
                  <a:t>[CATEGORY NAME]</a:t>
                </a:fld>
                <a:r>
                  <a:rPr lang="en-US"/>
                  <a:t>
</a:t>
                </a:r>
                <a:fld id="{E2123D89-4CE3-427B-998D-F9AA2A4C5EB5}"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722310979243537"/>
                  <c:h val="0.12451523545706371"/>
                </c:manualLayout>
              </c15:layout>
              <c15:dlblFieldTable/>
              <c15:showDataLabelsRange val="0"/>
            </c:ext>
          </c:extLst>
        </c:dLbl>
      </c:pivotFmt>
    </c:pivotFmts>
    <c:plotArea>
      <c:layout/>
      <c:doughnutChart>
        <c:varyColors val="1"/>
        <c:ser>
          <c:idx val="0"/>
          <c:order val="0"/>
          <c:tx>
            <c:strRef>
              <c:f>pivot!$E$20</c:f>
              <c:strCache>
                <c:ptCount val="1"/>
                <c:pt idx="0">
                  <c:v>Total</c:v>
                </c:pt>
              </c:strCache>
            </c:strRef>
          </c:tx>
          <c:spPr>
            <a:solidFill>
              <a:schemeClr val="accent1">
                <a:lumMod val="40000"/>
                <a:lumOff val="60000"/>
              </a:schemeClr>
            </a:solidFill>
            <a:ln w="19050">
              <a:solidFill>
                <a:schemeClr val="accent1"/>
              </a:solidFill>
            </a:ln>
            <a:effectLst/>
          </c:spPr>
          <c:dPt>
            <c:idx val="0"/>
            <c:bubble3D val="0"/>
            <c:spPr>
              <a:solidFill>
                <a:schemeClr val="accent1">
                  <a:lumMod val="75000"/>
                </a:schemeClr>
              </a:solidFill>
              <a:ln w="19050">
                <a:solidFill>
                  <a:schemeClr val="accent1"/>
                </a:solidFill>
              </a:ln>
              <a:effectLst/>
            </c:spPr>
            <c:extLst>
              <c:ext xmlns:c16="http://schemas.microsoft.com/office/drawing/2014/chart" uri="{C3380CC4-5D6E-409C-BE32-E72D297353CC}">
                <c16:uniqueId val="{00000001-561F-4003-8E71-616C5F64EFA6}"/>
              </c:ext>
            </c:extLst>
          </c:dPt>
          <c:dPt>
            <c:idx val="1"/>
            <c:bubble3D val="0"/>
            <c:spPr>
              <a:solidFill>
                <a:schemeClr val="accent1">
                  <a:lumMod val="60000"/>
                  <a:lumOff val="40000"/>
                </a:schemeClr>
              </a:solidFill>
              <a:ln w="19050">
                <a:solidFill>
                  <a:schemeClr val="accent1"/>
                </a:solidFill>
              </a:ln>
              <a:effectLst/>
            </c:spPr>
            <c:extLst>
              <c:ext xmlns:c16="http://schemas.microsoft.com/office/drawing/2014/chart" uri="{C3380CC4-5D6E-409C-BE32-E72D297353CC}">
                <c16:uniqueId val="{00000003-561F-4003-8E71-616C5F64EFA6}"/>
              </c:ext>
            </c:extLst>
          </c:dPt>
          <c:dPt>
            <c:idx val="2"/>
            <c:bubble3D val="0"/>
            <c:spPr>
              <a:solidFill>
                <a:schemeClr val="accent1">
                  <a:lumMod val="40000"/>
                  <a:lumOff val="60000"/>
                </a:schemeClr>
              </a:solidFill>
              <a:ln w="19050">
                <a:solidFill>
                  <a:schemeClr val="accent1"/>
                </a:solidFill>
              </a:ln>
              <a:effectLst/>
            </c:spPr>
            <c:extLst>
              <c:ext xmlns:c16="http://schemas.microsoft.com/office/drawing/2014/chart" uri="{C3380CC4-5D6E-409C-BE32-E72D297353CC}">
                <c16:uniqueId val="{00000005-561F-4003-8E71-616C5F64EFA6}"/>
              </c:ext>
            </c:extLst>
          </c:dPt>
          <c:dPt>
            <c:idx val="3"/>
            <c:bubble3D val="0"/>
            <c:spPr>
              <a:solidFill>
                <a:schemeClr val="accent1">
                  <a:lumMod val="20000"/>
                  <a:lumOff val="80000"/>
                </a:schemeClr>
              </a:solidFill>
              <a:ln w="19050">
                <a:solidFill>
                  <a:schemeClr val="accent1"/>
                </a:solidFill>
              </a:ln>
              <a:effectLst/>
            </c:spPr>
            <c:extLst>
              <c:ext xmlns:c16="http://schemas.microsoft.com/office/drawing/2014/chart" uri="{C3380CC4-5D6E-409C-BE32-E72D297353CC}">
                <c16:uniqueId val="{00000007-561F-4003-8E71-616C5F64EFA6}"/>
              </c:ext>
            </c:extLst>
          </c:dPt>
          <c:dLbls>
            <c:dLbl>
              <c:idx val="0"/>
              <c:layout>
                <c:manualLayout>
                  <c:x val="7.2024737849797613E-2"/>
                  <c:y val="0.18339548201295133"/>
                </c:manualLayout>
              </c:layout>
              <c:tx>
                <c:rich>
                  <a:bodyPr/>
                  <a:lstStyle/>
                  <a:p>
                    <a:fld id="{B9863862-6D1A-40C7-BBC3-149E276F7A84}" type="CATEGORYNAME">
                      <a:rPr lang="en-US"/>
                      <a:pPr/>
                      <a:t>[CATEGORY NAME]</a:t>
                    </a:fld>
                    <a:r>
                      <a:rPr lang="en-US"/>
                      <a:t>
</a:t>
                    </a:r>
                    <a:fld id="{A1089F73-40E6-4BD4-9B61-DD240A661B55}"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61F-4003-8E71-616C5F64EFA6}"/>
                </c:ext>
              </c:extLst>
            </c:dLbl>
            <c:dLbl>
              <c:idx val="1"/>
              <c:layout>
                <c:manualLayout>
                  <c:x val="-0.13260563993481858"/>
                  <c:y val="-4.2981638394566493E-2"/>
                </c:manualLayout>
              </c:layout>
              <c:tx>
                <c:rich>
                  <a:bodyPr/>
                  <a:lstStyle/>
                  <a:p>
                    <a:fld id="{2EEB8508-143D-4334-B94B-B25CF6BCD5EE}" type="CATEGORYNAME">
                      <a:rPr lang="en-US"/>
                      <a:pPr/>
                      <a:t>[CATEGORY NAME]</a:t>
                    </a:fld>
                    <a:r>
                      <a:rPr lang="en-US"/>
                      <a:t>
</a:t>
                    </a:r>
                    <a:fld id="{42A0F3D3-6996-4EA4-898D-9DD60C0D52D4}"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61F-4003-8E71-616C5F64EFA6}"/>
                </c:ext>
              </c:extLst>
            </c:dLbl>
            <c:dLbl>
              <c:idx val="2"/>
              <c:layout>
                <c:manualLayout>
                  <c:x val="-0.11447811447811448"/>
                  <c:y val="-0.10946081532052261"/>
                </c:manualLayout>
              </c:layout>
              <c:tx>
                <c:rich>
                  <a:bodyPr/>
                  <a:lstStyle/>
                  <a:p>
                    <a:fld id="{6A86467C-6309-49BC-B73E-79A295DDFA7B}" type="CATEGORYNAME">
                      <a:rPr lang="en-US"/>
                      <a:pPr/>
                      <a:t>[CATEGORY NAME]</a:t>
                    </a:fld>
                    <a:r>
                      <a:rPr lang="en-US"/>
                      <a:t>
</a:t>
                    </a:r>
                    <a:fld id="{A1B12850-02C4-42A2-BF01-5ABB479CB97E}"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61F-4003-8E71-616C5F64EFA6}"/>
                </c:ext>
              </c:extLst>
            </c:dLbl>
            <c:dLbl>
              <c:idx val="3"/>
              <c:layout>
                <c:manualLayout>
                  <c:x val="0.20044632102146651"/>
                  <c:y val="-0.11869442566216623"/>
                </c:manualLayout>
              </c:layout>
              <c:tx>
                <c:rich>
                  <a:bodyPr/>
                  <a:lstStyle/>
                  <a:p>
                    <a:fld id="{FC5FCD0A-2689-446F-9CE5-F97F4FB0E659}" type="CATEGORYNAME">
                      <a:rPr lang="en-US"/>
                      <a:pPr/>
                      <a:t>[CATEGORY NAME]</a:t>
                    </a:fld>
                    <a:r>
                      <a:rPr lang="en-US"/>
                      <a:t>
</a:t>
                    </a:r>
                    <a:fld id="{E2123D89-4CE3-427B-998D-F9AA2A4C5EB5}"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layout>
                    <c:manualLayout>
                      <c:w val="0.28722310979243537"/>
                      <c:h val="0.12451523545706371"/>
                    </c:manualLayout>
                  </c15:layout>
                  <c15:dlblFieldTable/>
                  <c15:showDataLabelsRange val="0"/>
                </c:ext>
                <c:ext xmlns:c16="http://schemas.microsoft.com/office/drawing/2014/chart" uri="{C3380CC4-5D6E-409C-BE32-E72D297353CC}">
                  <c16:uniqueId val="{00000007-561F-4003-8E71-616C5F64EFA6}"/>
                </c:ext>
              </c:extLst>
            </c:dLbl>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75000"/>
                    </a:schemeClr>
                  </a:solidFill>
                </a:ln>
                <a:effectLst/>
              </c:spPr>
            </c:leaderLines>
            <c:extLst>
              <c:ext xmlns:c15="http://schemas.microsoft.com/office/drawing/2012/chart" uri="{CE6537A1-D6FC-4f65-9D91-7224C49458BB}"/>
            </c:extLst>
          </c:dLbls>
          <c:cat>
            <c:strRef>
              <c:f>pivot!$D$21:$D$24</c:f>
              <c:strCache>
                <c:ptCount val="4"/>
                <c:pt idx="0">
                  <c:v>credit_card</c:v>
                </c:pt>
                <c:pt idx="1">
                  <c:v>boleto</c:v>
                </c:pt>
                <c:pt idx="2">
                  <c:v>voucher</c:v>
                </c:pt>
                <c:pt idx="3">
                  <c:v>debit_card</c:v>
                </c:pt>
              </c:strCache>
            </c:strRef>
          </c:cat>
          <c:val>
            <c:numRef>
              <c:f>pivot!$E$21:$E$24</c:f>
              <c:numCache>
                <c:formatCode>[&gt;=1000000]0.0,,"M";[&gt;=1000]0.0,"K";0</c:formatCode>
                <c:ptCount val="4"/>
                <c:pt idx="0">
                  <c:v>76795</c:v>
                </c:pt>
                <c:pt idx="1">
                  <c:v>19784</c:v>
                </c:pt>
                <c:pt idx="2">
                  <c:v>5775</c:v>
                </c:pt>
                <c:pt idx="3">
                  <c:v>1529</c:v>
                </c:pt>
              </c:numCache>
            </c:numRef>
          </c:val>
          <c:extLst>
            <c:ext xmlns:c16="http://schemas.microsoft.com/office/drawing/2014/chart" uri="{C3380CC4-5D6E-409C-BE32-E72D297353CC}">
              <c16:uniqueId val="{00000000-2B60-4CA0-B5F3-9DED19EC548F}"/>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2">
          <a:lumMod val="60000"/>
          <a:lumOff val="40000"/>
        </a:schemeClr>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[ecommerce_dashboard.xlsx]pivot!PivotTable2</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none"/>
          </c:marker>
          <c:cat>
            <c:strRef>
              <c:f>pivot!$A$2:$A$13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pivot!$B$2:$B$13</c:f>
              <c:numCache>
                <c:formatCode>General</c:formatCode>
                <c:ptCount val="12"/>
                <c:pt idx="0">
                  <c:v>1070343.23</c:v>
                </c:pt>
                <c:pt idx="1">
                  <c:v>1091481.73</c:v>
                </c:pt>
                <c:pt idx="2">
                  <c:v>1357557.74</c:v>
                </c:pt>
                <c:pt idx="3">
                  <c:v>1356574.98</c:v>
                </c:pt>
                <c:pt idx="4">
                  <c:v>1502588.82</c:v>
                </c:pt>
                <c:pt idx="5">
                  <c:v>1298162.9100000001</c:v>
                </c:pt>
                <c:pt idx="6">
                  <c:v>1393538.7</c:v>
                </c:pt>
                <c:pt idx="7">
                  <c:v>1428658.01</c:v>
                </c:pt>
                <c:pt idx="8">
                  <c:v>624669.04999999993</c:v>
                </c:pt>
                <c:pt idx="9">
                  <c:v>713727.09000000008</c:v>
                </c:pt>
                <c:pt idx="10">
                  <c:v>1010271.37</c:v>
                </c:pt>
                <c:pt idx="11">
                  <c:v>743925.07000000007</c:v>
                </c:pt>
              </c:numCache>
            </c:numRef>
          </c:val>
          <c:smooth val="0"/>
          <c:extLst>
            <c:ext xmlns:c16="http://schemas.microsoft.com/office/drawing/2014/chart" uri="{C3380CC4-5D6E-409C-BE32-E72D297353CC}">
              <c16:uniqueId val="{00000000-7814-4FAF-9D27-5FF069134E68}"/>
            </c:ext>
          </c:extLst>
        </c:ser>
        <c:dLbls>
          <c:showLegendKey val="0"/>
          <c:showVal val="0"/>
          <c:showCatName val="0"/>
          <c:showSerName val="0"/>
          <c:showPercent val="0"/>
          <c:showBubbleSize val="0"/>
        </c:dLbls>
        <c:smooth val="0"/>
        <c:axId val="1960310847"/>
        <c:axId val="1960311327"/>
      </c:lineChart>
      <c:catAx>
        <c:axId val="1960310847"/>
        <c:scaling>
          <c:orientation val="minMax"/>
        </c:scaling>
        <c:delete val="0"/>
        <c:axPos val="b"/>
        <c:title>
          <c:tx>
            <c:rich>
              <a:bodyPr rot="0" spcFirstLastPara="1" vertOverflow="ellipsis" vert="horz" wrap="square" anchor="ctr" anchorCtr="1"/>
              <a:lstStyle/>
              <a:p>
                <a:pPr algn="ctr" rtl="0">
                  <a:defRPr sz="1000" b="0" i="0" u="none" strike="noStrike" kern="1200" baseline="0">
                    <a:solidFill>
                      <a:schemeClr val="dk1"/>
                    </a:solidFill>
                    <a:latin typeface="+mn-lt"/>
                    <a:ea typeface="+mn-ea"/>
                    <a:cs typeface="+mn-cs"/>
                  </a:defRPr>
                </a:pPr>
                <a:r>
                  <a:rPr lang="en-IN"/>
                  <a:t>Months</a:t>
                </a:r>
              </a:p>
            </c:rich>
          </c:tx>
          <c:layout>
            <c:manualLayout>
              <c:xMode val="edge"/>
              <c:yMode val="edge"/>
              <c:x val="0.40674846894138234"/>
              <c:y val="0.91571741032370957"/>
            </c:manualLayout>
          </c:layout>
          <c:overlay val="0"/>
          <c:spPr>
            <a:noFill/>
            <a:ln>
              <a:noFill/>
            </a:ln>
            <a:effectLst/>
          </c:spPr>
          <c:txPr>
            <a:bodyPr rot="0" spcFirstLastPara="1" vertOverflow="ellipsis" vert="horz" wrap="square" anchor="ctr" anchorCtr="1"/>
            <a:lstStyle/>
            <a:p>
              <a:pPr algn="ctr" rtl="0">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0311327"/>
        <c:crosses val="autoZero"/>
        <c:auto val="1"/>
        <c:lblAlgn val="ctr"/>
        <c:lblOffset val="100"/>
        <c:noMultiLvlLbl val="0"/>
      </c:catAx>
      <c:valAx>
        <c:axId val="1960311327"/>
        <c:scaling>
          <c:orientation val="minMax"/>
        </c:scaling>
        <c:delete val="0"/>
        <c:axPos val="l"/>
        <c:majorGridlines>
          <c:spPr>
            <a:ln w="9525" cap="flat" cmpd="sng" algn="ctr">
              <a:solidFill>
                <a:schemeClr val="bg2">
                  <a:lumMod val="90000"/>
                </a:schemeClr>
              </a:solidFill>
              <a:round/>
            </a:ln>
            <a:effectLst/>
          </c:spPr>
        </c:majorGridlines>
        <c:title>
          <c:tx>
            <c:rich>
              <a:bodyPr rot="-5400000" spcFirstLastPara="1" vertOverflow="ellipsis" vert="horz" wrap="square" anchor="ctr" anchorCtr="1"/>
              <a:lstStyle/>
              <a:p>
                <a:pPr algn="ctr" rtl="0">
                  <a:defRPr sz="1000" b="0" i="0" u="none" strike="noStrike" kern="1200" baseline="0">
                    <a:solidFill>
                      <a:schemeClr val="dk1"/>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lgn="ctr" rtl="0">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031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2">
          <a:lumMod val="60000"/>
          <a:lumOff val="40000"/>
        </a:schemeClr>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342900</xdr:colOff>
      <xdr:row>5</xdr:row>
      <xdr:rowOff>22860</xdr:rowOff>
    </xdr:from>
    <xdr:to>
      <xdr:col>18</xdr:col>
      <xdr:colOff>160020</xdr:colOff>
      <xdr:row>20</xdr:row>
      <xdr:rowOff>152400</xdr:rowOff>
    </xdr:to>
    <xdr:graphicFrame macro="">
      <xdr:nvGraphicFramePr>
        <xdr:cNvPr id="7" name="Chart 6">
          <a:extLst>
            <a:ext uri="{FF2B5EF4-FFF2-40B4-BE49-F238E27FC236}">
              <a16:creationId xmlns:a16="http://schemas.microsoft.com/office/drawing/2014/main" id="{7ED90A65-0173-4459-8B05-3354B2113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205740</xdr:colOff>
      <xdr:row>21</xdr:row>
      <xdr:rowOff>38100</xdr:rowOff>
    </xdr:from>
    <xdr:to>
      <xdr:col>15</xdr:col>
      <xdr:colOff>297180</xdr:colOff>
      <xdr:row>35</xdr:row>
      <xdr:rowOff>68580</xdr:rowOff>
    </xdr:to>
    <xdr:graphicFrame macro="">
      <xdr:nvGraphicFramePr>
        <xdr:cNvPr id="8" name="Chart 7">
          <a:extLst>
            <a:ext uri="{FF2B5EF4-FFF2-40B4-BE49-F238E27FC236}">
              <a16:creationId xmlns:a16="http://schemas.microsoft.com/office/drawing/2014/main" id="{32E7C000-5962-4AD1-9F56-102E5318A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350520</xdr:colOff>
      <xdr:row>21</xdr:row>
      <xdr:rowOff>30480</xdr:rowOff>
    </xdr:from>
    <xdr:to>
      <xdr:col>23</xdr:col>
      <xdr:colOff>373380</xdr:colOff>
      <xdr:row>35</xdr:row>
      <xdr:rowOff>53340</xdr:rowOff>
    </xdr:to>
    <xdr:graphicFrame macro="">
      <xdr:nvGraphicFramePr>
        <xdr:cNvPr id="9" name="Chart 8">
          <a:extLst>
            <a:ext uri="{FF2B5EF4-FFF2-40B4-BE49-F238E27FC236}">
              <a16:creationId xmlns:a16="http://schemas.microsoft.com/office/drawing/2014/main" id="{8532ACC0-5C44-4E48-B4CA-9FE070895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21</xdr:row>
      <xdr:rowOff>60960</xdr:rowOff>
    </xdr:from>
    <xdr:to>
      <xdr:col>8</xdr:col>
      <xdr:colOff>144780</xdr:colOff>
      <xdr:row>35</xdr:row>
      <xdr:rowOff>60960</xdr:rowOff>
    </xdr:to>
    <xdr:graphicFrame macro="">
      <xdr:nvGraphicFramePr>
        <xdr:cNvPr id="10" name="Chart 9">
          <a:extLst>
            <a:ext uri="{FF2B5EF4-FFF2-40B4-BE49-F238E27FC236}">
              <a16:creationId xmlns:a16="http://schemas.microsoft.com/office/drawing/2014/main" id="{05E48774-278B-44B5-8AFA-B0B98B83C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205740</xdr:colOff>
      <xdr:row>0</xdr:row>
      <xdr:rowOff>114300</xdr:rowOff>
    </xdr:from>
    <xdr:to>
      <xdr:col>23</xdr:col>
      <xdr:colOff>373380</xdr:colOff>
      <xdr:row>20</xdr:row>
      <xdr:rowOff>144780</xdr:rowOff>
    </xdr:to>
    <xdr:graphicFrame macro="">
      <xdr:nvGraphicFramePr>
        <xdr:cNvPr id="11" name="Chart 10">
          <a:extLst>
            <a:ext uri="{FF2B5EF4-FFF2-40B4-BE49-F238E27FC236}">
              <a16:creationId xmlns:a16="http://schemas.microsoft.com/office/drawing/2014/main" id="{06295F9B-A717-4259-A810-C117A26A3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5</xdr:row>
      <xdr:rowOff>15240</xdr:rowOff>
    </xdr:from>
    <xdr:to>
      <xdr:col>12</xdr:col>
      <xdr:colOff>304800</xdr:colOff>
      <xdr:row>20</xdr:row>
      <xdr:rowOff>167640</xdr:rowOff>
    </xdr:to>
    <xdr:graphicFrame macro="">
      <xdr:nvGraphicFramePr>
        <xdr:cNvPr id="5" name="Chart 4">
          <a:extLst>
            <a:ext uri="{FF2B5EF4-FFF2-40B4-BE49-F238E27FC236}">
              <a16:creationId xmlns:a16="http://schemas.microsoft.com/office/drawing/2014/main" id="{ED99F573-EB48-495C-A18C-5A52DE7B9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396240</xdr:colOff>
      <xdr:row>0</xdr:row>
      <xdr:rowOff>60960</xdr:rowOff>
    </xdr:from>
    <xdr:to>
      <xdr:col>4</xdr:col>
      <xdr:colOff>541020</xdr:colOff>
      <xdr:row>7</xdr:row>
      <xdr:rowOff>7620</xdr:rowOff>
    </xdr:to>
    <xdr:sp macro="" textlink="">
      <xdr:nvSpPr>
        <xdr:cNvPr id="3" name="Rectangle: Rounded Corners 2">
          <a:extLst>
            <a:ext uri="{FF2B5EF4-FFF2-40B4-BE49-F238E27FC236}">
              <a16:creationId xmlns:a16="http://schemas.microsoft.com/office/drawing/2014/main" id="{A5233EB7-47D6-9A1E-403D-7B70E57849D3}"/>
            </a:ext>
          </a:extLst>
        </xdr:cNvPr>
        <xdr:cNvSpPr/>
      </xdr:nvSpPr>
      <xdr:spPr>
        <a:xfrm>
          <a:off x="1615440" y="60960"/>
          <a:ext cx="1363980" cy="1226820"/>
        </a:xfrm>
        <a:prstGeom prst="roundRect">
          <a:avLst/>
        </a:prstGeom>
        <a:solidFill>
          <a:schemeClr val="tx2">
            <a:lumMod val="75000"/>
          </a:schemeClr>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114300</xdr:colOff>
      <xdr:row>7</xdr:row>
      <xdr:rowOff>53340</xdr:rowOff>
    </xdr:from>
    <xdr:to>
      <xdr:col>2</xdr:col>
      <xdr:colOff>266700</xdr:colOff>
      <xdr:row>13</xdr:row>
      <xdr:rowOff>137160</xdr:rowOff>
    </xdr:to>
    <xdr:sp macro="" textlink="">
      <xdr:nvSpPr>
        <xdr:cNvPr id="13" name="Rectangle: Rounded Corners 12">
          <a:extLst>
            <a:ext uri="{FF2B5EF4-FFF2-40B4-BE49-F238E27FC236}">
              <a16:creationId xmlns:a16="http://schemas.microsoft.com/office/drawing/2014/main" id="{5FCF0131-36D4-45D6-989F-C5B22B9C7D66}"/>
            </a:ext>
          </a:extLst>
        </xdr:cNvPr>
        <xdr:cNvSpPr/>
      </xdr:nvSpPr>
      <xdr:spPr>
        <a:xfrm>
          <a:off x="114300" y="1333500"/>
          <a:ext cx="1371600" cy="1181100"/>
        </a:xfrm>
        <a:prstGeom prst="roundRect">
          <a:avLst/>
        </a:prstGeom>
        <a:solidFill>
          <a:schemeClr val="tx2">
            <a:lumMod val="75000"/>
          </a:schemeClr>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365760</xdr:colOff>
      <xdr:row>10</xdr:row>
      <xdr:rowOff>175260</xdr:rowOff>
    </xdr:from>
    <xdr:to>
      <xdr:col>1</xdr:col>
      <xdr:colOff>571500</xdr:colOff>
      <xdr:row>12</xdr:row>
      <xdr:rowOff>129540</xdr:rowOff>
    </xdr:to>
    <xdr:sp macro="" textlink="pivot!B28">
      <xdr:nvSpPr>
        <xdr:cNvPr id="4" name="TextBox 3">
          <a:extLst>
            <a:ext uri="{FF2B5EF4-FFF2-40B4-BE49-F238E27FC236}">
              <a16:creationId xmlns:a16="http://schemas.microsoft.com/office/drawing/2014/main" id="{C77D2509-C068-EE0C-B8F5-F572525A9731}"/>
            </a:ext>
          </a:extLst>
        </xdr:cNvPr>
        <xdr:cNvSpPr txBox="1"/>
      </xdr:nvSpPr>
      <xdr:spPr>
        <a:xfrm>
          <a:off x="365760" y="2004060"/>
          <a:ext cx="81534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CDC61E1-E1CE-4772-8831-66B0ED53B584}" type="TxLink">
            <a:rPr lang="en-US" sz="2000" b="1" i="0" u="none" strike="noStrike">
              <a:solidFill>
                <a:srgbClr val="000000"/>
              </a:solidFill>
              <a:latin typeface="Calibri"/>
              <a:ea typeface="Calibri"/>
              <a:cs typeface="Calibri"/>
            </a:rPr>
            <a:pPr algn="ctr"/>
            <a:t>35.0K</a:t>
          </a:fld>
          <a:endParaRPr lang="en-IN" sz="2000" b="1"/>
        </a:p>
      </xdr:txBody>
    </xdr:sp>
    <xdr:clientData/>
  </xdr:twoCellAnchor>
  <xdr:twoCellAnchor>
    <xdr:from>
      <xdr:col>0</xdr:col>
      <xdr:colOff>243840</xdr:colOff>
      <xdr:row>7</xdr:row>
      <xdr:rowOff>137160</xdr:rowOff>
    </xdr:from>
    <xdr:to>
      <xdr:col>2</xdr:col>
      <xdr:colOff>76200</xdr:colOff>
      <xdr:row>11</xdr:row>
      <xdr:rowOff>15240</xdr:rowOff>
    </xdr:to>
    <xdr:sp macro="" textlink="">
      <xdr:nvSpPr>
        <xdr:cNvPr id="6" name="TextBox 5">
          <a:extLst>
            <a:ext uri="{FF2B5EF4-FFF2-40B4-BE49-F238E27FC236}">
              <a16:creationId xmlns:a16="http://schemas.microsoft.com/office/drawing/2014/main" id="{AF4BDC0B-3AFF-4B52-9FC4-DF31D4E9BFF9}"/>
            </a:ext>
          </a:extLst>
        </xdr:cNvPr>
        <xdr:cNvSpPr txBox="1"/>
      </xdr:nvSpPr>
      <xdr:spPr>
        <a:xfrm>
          <a:off x="243840" y="1417320"/>
          <a:ext cx="105156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 Customers</a:t>
          </a:r>
        </a:p>
      </xdr:txBody>
    </xdr:sp>
    <xdr:clientData/>
  </xdr:twoCellAnchor>
  <xdr:twoCellAnchor>
    <xdr:from>
      <xdr:col>0</xdr:col>
      <xdr:colOff>121920</xdr:colOff>
      <xdr:row>0</xdr:row>
      <xdr:rowOff>76200</xdr:rowOff>
    </xdr:from>
    <xdr:to>
      <xdr:col>2</xdr:col>
      <xdr:colOff>266700</xdr:colOff>
      <xdr:row>7</xdr:row>
      <xdr:rowOff>15240</xdr:rowOff>
    </xdr:to>
    <xdr:sp macro="" textlink="">
      <xdr:nvSpPr>
        <xdr:cNvPr id="15" name="Rectangle: Rounded Corners 14">
          <a:extLst>
            <a:ext uri="{FF2B5EF4-FFF2-40B4-BE49-F238E27FC236}">
              <a16:creationId xmlns:a16="http://schemas.microsoft.com/office/drawing/2014/main" id="{3C77C98E-DB60-4315-B037-E36B74EDFE24}"/>
            </a:ext>
          </a:extLst>
        </xdr:cNvPr>
        <xdr:cNvSpPr/>
      </xdr:nvSpPr>
      <xdr:spPr>
        <a:xfrm>
          <a:off x="121920" y="76200"/>
          <a:ext cx="1363980" cy="1219200"/>
        </a:xfrm>
        <a:prstGeom prst="roundRect">
          <a:avLst/>
        </a:prstGeom>
        <a:solidFill>
          <a:schemeClr val="tx2">
            <a:lumMod val="75000"/>
          </a:schemeClr>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4</xdr:row>
      <xdr:rowOff>30480</xdr:rowOff>
    </xdr:from>
    <xdr:to>
      <xdr:col>2</xdr:col>
      <xdr:colOff>15240</xdr:colOff>
      <xdr:row>6</xdr:row>
      <xdr:rowOff>0</xdr:rowOff>
    </xdr:to>
    <xdr:sp macro="" textlink="pivot!B14">
      <xdr:nvSpPr>
        <xdr:cNvPr id="14" name="TextBox 13">
          <a:extLst>
            <a:ext uri="{FF2B5EF4-FFF2-40B4-BE49-F238E27FC236}">
              <a16:creationId xmlns:a16="http://schemas.microsoft.com/office/drawing/2014/main" id="{9F2602B4-1D84-03E2-D527-BB60F0A1B637}"/>
            </a:ext>
          </a:extLst>
        </xdr:cNvPr>
        <xdr:cNvSpPr txBox="1"/>
      </xdr:nvSpPr>
      <xdr:spPr>
        <a:xfrm>
          <a:off x="304800" y="762000"/>
          <a:ext cx="92964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B1C4C3-7AC3-4DDE-A41F-D54A1F5FF236}" type="TxLink">
            <a:rPr lang="en-US" sz="2000" b="1" i="0" u="none" strike="noStrike">
              <a:solidFill>
                <a:srgbClr val="000000"/>
              </a:solidFill>
              <a:latin typeface="Calibri"/>
              <a:ea typeface="Calibri"/>
              <a:cs typeface="Calibri"/>
            </a:rPr>
            <a:pPr algn="ctr"/>
            <a:t>13.6M</a:t>
          </a:fld>
          <a:endParaRPr lang="en-IN" sz="2000" b="1"/>
        </a:p>
      </xdr:txBody>
    </xdr:sp>
    <xdr:clientData/>
  </xdr:twoCellAnchor>
  <xdr:twoCellAnchor>
    <xdr:from>
      <xdr:col>0</xdr:col>
      <xdr:colOff>274320</xdr:colOff>
      <xdr:row>0</xdr:row>
      <xdr:rowOff>137160</xdr:rowOff>
    </xdr:from>
    <xdr:to>
      <xdr:col>2</xdr:col>
      <xdr:colOff>99060</xdr:colOff>
      <xdr:row>4</xdr:row>
      <xdr:rowOff>22860</xdr:rowOff>
    </xdr:to>
    <xdr:sp macro="" textlink="">
      <xdr:nvSpPr>
        <xdr:cNvPr id="18" name="TextBox 17">
          <a:extLst>
            <a:ext uri="{FF2B5EF4-FFF2-40B4-BE49-F238E27FC236}">
              <a16:creationId xmlns:a16="http://schemas.microsoft.com/office/drawing/2014/main" id="{5327A44A-AA2F-9FD0-2F03-5CC297306C4D}"/>
            </a:ext>
          </a:extLst>
        </xdr:cNvPr>
        <xdr:cNvSpPr txBox="1"/>
      </xdr:nvSpPr>
      <xdr:spPr>
        <a:xfrm>
          <a:off x="274320" y="137160"/>
          <a:ext cx="104394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a:t>
          </a:r>
          <a:r>
            <a:rPr lang="en-IN" sz="1400" b="1" baseline="0">
              <a:solidFill>
                <a:schemeClr val="bg1"/>
              </a:solidFill>
            </a:rPr>
            <a:t> Revenue</a:t>
          </a:r>
          <a:endParaRPr lang="en-IN" sz="1400" b="1">
            <a:solidFill>
              <a:schemeClr val="bg1"/>
            </a:solidFill>
          </a:endParaRPr>
        </a:p>
      </xdr:txBody>
    </xdr:sp>
    <xdr:clientData/>
  </xdr:twoCellAnchor>
  <xdr:twoCellAnchor>
    <xdr:from>
      <xdr:col>2</xdr:col>
      <xdr:colOff>373380</xdr:colOff>
      <xdr:row>7</xdr:row>
      <xdr:rowOff>53340</xdr:rowOff>
    </xdr:from>
    <xdr:to>
      <xdr:col>4</xdr:col>
      <xdr:colOff>541020</xdr:colOff>
      <xdr:row>13</xdr:row>
      <xdr:rowOff>129540</xdr:rowOff>
    </xdr:to>
    <xdr:sp macro="" textlink="">
      <xdr:nvSpPr>
        <xdr:cNvPr id="21" name="Rectangle: Rounded Corners 20">
          <a:extLst>
            <a:ext uri="{FF2B5EF4-FFF2-40B4-BE49-F238E27FC236}">
              <a16:creationId xmlns:a16="http://schemas.microsoft.com/office/drawing/2014/main" id="{CEFD8C6B-BB62-B01D-54C9-C909EA730067}"/>
            </a:ext>
          </a:extLst>
        </xdr:cNvPr>
        <xdr:cNvSpPr/>
      </xdr:nvSpPr>
      <xdr:spPr>
        <a:xfrm>
          <a:off x="1592580" y="1333500"/>
          <a:ext cx="1386840" cy="1173480"/>
        </a:xfrm>
        <a:prstGeom prst="roundRect">
          <a:avLst/>
        </a:prstGeom>
        <a:solidFill>
          <a:schemeClr val="tx2">
            <a:lumMod val="75000"/>
          </a:schemeClr>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495300</xdr:colOff>
      <xdr:row>7</xdr:row>
      <xdr:rowOff>137160</xdr:rowOff>
    </xdr:from>
    <xdr:to>
      <xdr:col>4</xdr:col>
      <xdr:colOff>388620</xdr:colOff>
      <xdr:row>11</xdr:row>
      <xdr:rowOff>0</xdr:rowOff>
    </xdr:to>
    <xdr:sp macro="" textlink="">
      <xdr:nvSpPr>
        <xdr:cNvPr id="19" name="TextBox 18">
          <a:extLst>
            <a:ext uri="{FF2B5EF4-FFF2-40B4-BE49-F238E27FC236}">
              <a16:creationId xmlns:a16="http://schemas.microsoft.com/office/drawing/2014/main" id="{8E3ADFF2-D2C8-1B78-4217-4BF8392BF49B}"/>
            </a:ext>
          </a:extLst>
        </xdr:cNvPr>
        <xdr:cNvSpPr txBox="1"/>
      </xdr:nvSpPr>
      <xdr:spPr>
        <a:xfrm>
          <a:off x="1714500" y="1417320"/>
          <a:ext cx="111252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AVG Order Value</a:t>
          </a:r>
        </a:p>
      </xdr:txBody>
    </xdr:sp>
    <xdr:clientData/>
  </xdr:twoCellAnchor>
  <xdr:twoCellAnchor>
    <xdr:from>
      <xdr:col>2</xdr:col>
      <xdr:colOff>525780</xdr:colOff>
      <xdr:row>11</xdr:row>
      <xdr:rowOff>30480</xdr:rowOff>
    </xdr:from>
    <xdr:to>
      <xdr:col>4</xdr:col>
      <xdr:colOff>381000</xdr:colOff>
      <xdr:row>12</xdr:row>
      <xdr:rowOff>129540</xdr:rowOff>
    </xdr:to>
    <xdr:sp macro="" textlink="pivot!I27">
      <xdr:nvSpPr>
        <xdr:cNvPr id="20" name="TextBox 19">
          <a:extLst>
            <a:ext uri="{FF2B5EF4-FFF2-40B4-BE49-F238E27FC236}">
              <a16:creationId xmlns:a16="http://schemas.microsoft.com/office/drawing/2014/main" id="{CE26B829-9B57-9D0B-07C2-F891A83E1275}"/>
            </a:ext>
          </a:extLst>
        </xdr:cNvPr>
        <xdr:cNvSpPr txBox="1"/>
      </xdr:nvSpPr>
      <xdr:spPr>
        <a:xfrm>
          <a:off x="1744980" y="2042160"/>
          <a:ext cx="107442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96F12D-4CDB-4BAA-B0C7-EA13B9AA8771}" type="TxLink">
            <a:rPr lang="en-US" sz="2400" b="1" i="0" u="none" strike="noStrike">
              <a:solidFill>
                <a:srgbClr val="000000"/>
              </a:solidFill>
              <a:latin typeface="Calibri"/>
              <a:ea typeface="Calibri"/>
              <a:cs typeface="Calibri"/>
            </a:rPr>
            <a:pPr algn="ctr"/>
            <a:t>138.39</a:t>
          </a:fld>
          <a:endParaRPr lang="en-IN" sz="2400" b="1"/>
        </a:p>
      </xdr:txBody>
    </xdr:sp>
    <xdr:clientData/>
  </xdr:twoCellAnchor>
  <xdr:twoCellAnchor>
    <xdr:from>
      <xdr:col>2</xdr:col>
      <xdr:colOff>563880</xdr:colOff>
      <xdr:row>0</xdr:row>
      <xdr:rowOff>175260</xdr:rowOff>
    </xdr:from>
    <xdr:to>
      <xdr:col>4</xdr:col>
      <xdr:colOff>342900</xdr:colOff>
      <xdr:row>3</xdr:row>
      <xdr:rowOff>152400</xdr:rowOff>
    </xdr:to>
    <xdr:sp macro="" textlink="">
      <xdr:nvSpPr>
        <xdr:cNvPr id="22" name="TextBox 21">
          <a:extLst>
            <a:ext uri="{FF2B5EF4-FFF2-40B4-BE49-F238E27FC236}">
              <a16:creationId xmlns:a16="http://schemas.microsoft.com/office/drawing/2014/main" id="{3B62D98C-7C2E-4C4D-4329-82158E86EEF1}"/>
            </a:ext>
          </a:extLst>
        </xdr:cNvPr>
        <xdr:cNvSpPr txBox="1"/>
      </xdr:nvSpPr>
      <xdr:spPr>
        <a:xfrm>
          <a:off x="1783080" y="175260"/>
          <a:ext cx="99822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Total</a:t>
          </a:r>
          <a:r>
            <a:rPr lang="en-IN" sz="1400" b="1" baseline="0">
              <a:solidFill>
                <a:schemeClr val="bg1"/>
              </a:solidFill>
            </a:rPr>
            <a:t> Orders</a:t>
          </a:r>
          <a:endParaRPr lang="en-IN" sz="1400" b="1">
            <a:solidFill>
              <a:schemeClr val="bg1"/>
            </a:solidFill>
          </a:endParaRPr>
        </a:p>
      </xdr:txBody>
    </xdr:sp>
    <xdr:clientData/>
  </xdr:twoCellAnchor>
  <xdr:twoCellAnchor>
    <xdr:from>
      <xdr:col>3</xdr:col>
      <xdr:colOff>15240</xdr:colOff>
      <xdr:row>4</xdr:row>
      <xdr:rowOff>53340</xdr:rowOff>
    </xdr:from>
    <xdr:to>
      <xdr:col>4</xdr:col>
      <xdr:colOff>312420</xdr:colOff>
      <xdr:row>6</xdr:row>
      <xdr:rowOff>38100</xdr:rowOff>
    </xdr:to>
    <xdr:sp macro="" textlink="pivot!H19">
      <xdr:nvSpPr>
        <xdr:cNvPr id="23" name="TextBox 22">
          <a:extLst>
            <a:ext uri="{FF2B5EF4-FFF2-40B4-BE49-F238E27FC236}">
              <a16:creationId xmlns:a16="http://schemas.microsoft.com/office/drawing/2014/main" id="{27D23467-6C59-14BC-AB70-77EDC8D8019B}"/>
            </a:ext>
          </a:extLst>
        </xdr:cNvPr>
        <xdr:cNvSpPr txBox="1"/>
      </xdr:nvSpPr>
      <xdr:spPr>
        <a:xfrm>
          <a:off x="1844040" y="784860"/>
          <a:ext cx="90678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C45C7-3EEC-4B85-8A20-FDBBC73B2EC2}" type="TxLink">
            <a:rPr lang="en-US" sz="2000" b="1" i="0" u="none" strike="noStrike">
              <a:solidFill>
                <a:srgbClr val="000000"/>
              </a:solidFill>
              <a:latin typeface="Calibri"/>
              <a:ea typeface="Calibri"/>
              <a:cs typeface="Calibri"/>
            </a:rPr>
            <a:pPr algn="ctr"/>
            <a:t>98.2K</a:t>
          </a:fld>
          <a:endParaRPr lang="en-IN" sz="2000" b="1"/>
        </a:p>
      </xdr:txBody>
    </xdr:sp>
    <xdr:clientData/>
  </xdr:twoCellAnchor>
  <xdr:twoCellAnchor editAs="oneCell">
    <xdr:from>
      <xdr:col>5</xdr:col>
      <xdr:colOff>15240</xdr:colOff>
      <xdr:row>0</xdr:row>
      <xdr:rowOff>53340</xdr:rowOff>
    </xdr:from>
    <xdr:to>
      <xdr:col>7</xdr:col>
      <xdr:colOff>129540</xdr:colOff>
      <xdr:row>4</xdr:row>
      <xdr:rowOff>152400</xdr:rowOff>
    </xdr:to>
    <mc:AlternateContent xmlns:mc="http://schemas.openxmlformats.org/markup-compatibility/2006" xmlns:a14="http://schemas.microsoft.com/office/drawing/2010/main">
      <mc:Choice Requires="a14">
        <xdr:graphicFrame macro="">
          <xdr:nvGraphicFramePr>
            <xdr:cNvPr id="2" name="Years">
              <a:extLst>
                <a:ext uri="{FF2B5EF4-FFF2-40B4-BE49-F238E27FC236}">
                  <a16:creationId xmlns:a16="http://schemas.microsoft.com/office/drawing/2014/main" id="{A2332D9A-D58C-801F-6D39-0360B75B94C3}"/>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063240" y="53340"/>
              <a:ext cx="1333500"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175260</xdr:colOff>
      <xdr:row>0</xdr:row>
      <xdr:rowOff>68580</xdr:rowOff>
    </xdr:from>
    <xdr:to>
      <xdr:col>18</xdr:col>
      <xdr:colOff>160020</xdr:colOff>
      <xdr:row>4</xdr:row>
      <xdr:rowOff>144780</xdr:rowOff>
    </xdr:to>
    <xdr:sp macro="" textlink="">
      <xdr:nvSpPr>
        <xdr:cNvPr id="16" name="TextBox 15">
          <a:extLst>
            <a:ext uri="{FF2B5EF4-FFF2-40B4-BE49-F238E27FC236}">
              <a16:creationId xmlns:a16="http://schemas.microsoft.com/office/drawing/2014/main" id="{4119BC32-9AC3-9903-2F2E-3A42C4C165D3}"/>
            </a:ext>
          </a:extLst>
        </xdr:cNvPr>
        <xdr:cNvSpPr txBox="1"/>
      </xdr:nvSpPr>
      <xdr:spPr>
        <a:xfrm>
          <a:off x="4442460" y="68580"/>
          <a:ext cx="6690360" cy="807720"/>
        </a:xfrm>
        <a:prstGeom prst="rect">
          <a:avLst/>
        </a:prstGeom>
        <a:solidFill>
          <a:schemeClr val="tx2">
            <a:lumMod val="75000"/>
          </a:schemeClr>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600" b="1">
              <a:solidFill>
                <a:schemeClr val="lt1"/>
              </a:solidFill>
              <a:latin typeface="+mn-lt"/>
              <a:ea typeface="+mn-ea"/>
              <a:cs typeface="+mn-cs"/>
            </a:rPr>
            <a:t>E-Commerce Sales Dashboard</a:t>
          </a:r>
        </a:p>
      </xdr:txBody>
    </xdr:sp>
    <xdr:clientData/>
  </xdr:twoCellAnchor>
  <xdr:twoCellAnchor>
    <xdr:from>
      <xdr:col>0</xdr:col>
      <xdr:colOff>68580</xdr:colOff>
      <xdr:row>14</xdr:row>
      <xdr:rowOff>15240</xdr:rowOff>
    </xdr:from>
    <xdr:to>
      <xdr:col>4</xdr:col>
      <xdr:colOff>541020</xdr:colOff>
      <xdr:row>21</xdr:row>
      <xdr:rowOff>22860</xdr:rowOff>
    </xdr:to>
    <xdr:sp macro="" textlink="">
      <xdr:nvSpPr>
        <xdr:cNvPr id="24" name="TextBox 23">
          <a:extLst>
            <a:ext uri="{FF2B5EF4-FFF2-40B4-BE49-F238E27FC236}">
              <a16:creationId xmlns:a16="http://schemas.microsoft.com/office/drawing/2014/main" id="{385BAF8D-A72E-6B4C-B8B4-C487A8907A55}"/>
            </a:ext>
          </a:extLst>
        </xdr:cNvPr>
        <xdr:cNvSpPr txBox="1"/>
      </xdr:nvSpPr>
      <xdr:spPr>
        <a:xfrm>
          <a:off x="68580" y="2575560"/>
          <a:ext cx="2910840" cy="1287780"/>
        </a:xfrm>
        <a:prstGeom prst="rect">
          <a:avLst/>
        </a:prstGeom>
        <a:ln>
          <a:solidFill>
            <a:schemeClr val="tx2">
              <a:lumMod val="60000"/>
              <a:lumOff val="40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l"/>
          <a:r>
            <a:rPr lang="en-IN" sz="1400" b="1"/>
            <a:t>	Key Insights</a:t>
          </a:r>
          <a:br>
            <a:rPr lang="en-IN"/>
          </a:br>
          <a:r>
            <a:rPr lang="en-IN"/>
            <a:t>• </a:t>
          </a:r>
          <a:r>
            <a:rPr lang="en-IN" sz="1200"/>
            <a:t>Total Revenue: 13.6M</a:t>
          </a:r>
          <a:br>
            <a:rPr lang="en-IN" sz="1200"/>
          </a:br>
          <a:r>
            <a:rPr lang="en-IN" sz="1200"/>
            <a:t>• Credit Card accounts for 74% of payments</a:t>
          </a:r>
          <a:br>
            <a:rPr lang="en-IN" sz="1200"/>
          </a:br>
          <a:r>
            <a:rPr lang="en-IN" sz="1200"/>
            <a:t>• São Paulo generates the highest revenue</a:t>
          </a:r>
          <a:br>
            <a:rPr lang="en-IN" sz="1200"/>
          </a:br>
          <a:r>
            <a:rPr lang="en-IN" sz="1200"/>
            <a:t>• Delivered orders exceed 98% </a:t>
          </a:r>
        </a:p>
      </xdr:txBody>
    </xdr:sp>
    <xdr:clientData/>
  </xdr:twoCellAnchor>
  <xdr:twoCellAnchor>
    <xdr:from>
      <xdr:col>19</xdr:col>
      <xdr:colOff>68580</xdr:colOff>
      <xdr:row>0</xdr:row>
      <xdr:rowOff>129540</xdr:rowOff>
    </xdr:from>
    <xdr:to>
      <xdr:col>23</xdr:col>
      <xdr:colOff>121920</xdr:colOff>
      <xdr:row>2</xdr:row>
      <xdr:rowOff>106680</xdr:rowOff>
    </xdr:to>
    <xdr:sp macro="" textlink="">
      <xdr:nvSpPr>
        <xdr:cNvPr id="12" name="TextBox 11">
          <a:extLst>
            <a:ext uri="{FF2B5EF4-FFF2-40B4-BE49-F238E27FC236}">
              <a16:creationId xmlns:a16="http://schemas.microsoft.com/office/drawing/2014/main" id="{28291144-F8D8-31CB-0DB0-000B420B5FDA}"/>
            </a:ext>
          </a:extLst>
        </xdr:cNvPr>
        <xdr:cNvSpPr txBox="1"/>
      </xdr:nvSpPr>
      <xdr:spPr>
        <a:xfrm>
          <a:off x="11650980" y="129540"/>
          <a:ext cx="24917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75000"/>
                </a:schemeClr>
              </a:solidFill>
            </a:rPr>
            <a:t>Payment Distribution Method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Shree" refreshedDate="46178.669087847222" createdVersion="8" refreshedVersion="8" minRefreshableVersion="3" recordCount="5" xr:uid="{3514F684-497A-4563-9904-660EEBC4D003}">
  <cacheSource type="worksheet">
    <worksheetSource name="revenue_by_category__3"/>
  </cacheSource>
  <cacheFields count="2">
    <cacheField name="product_category_name" numFmtId="0">
      <sharedItems count="5">
        <s v="cama_mesa_banho"/>
        <s v="esporte_lazer"/>
        <s v="moveis_decoracao"/>
        <s v="beleza_saude"/>
        <s v="utilidades_domesticas"/>
      </sharedItems>
    </cacheField>
    <cacheField name="total_products" numFmtId="0">
      <sharedItems containsSemiMixedTypes="0" containsString="0" containsNumber="1" containsInteger="1" minValue="2335" maxValue="302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Shree" refreshedDate="46178.671828935185" createdVersion="8" refreshedVersion="8" minRefreshableVersion="3" recordCount="27" xr:uid="{90F3D881-8CEC-4C32-9898-0AA5B8B9AFA7}">
  <cacheSource type="worksheet">
    <worksheetSource name="revenue_by_state"/>
  </cacheSource>
  <cacheFields count="2">
    <cacheField name="customer_state" numFmtId="0">
      <sharedItems count="27">
        <s v="SP"/>
        <s v="RJ"/>
        <s v="MG"/>
        <s v="RS"/>
        <s v="PR"/>
        <s v="SC"/>
        <s v="BA"/>
        <s v="DF"/>
        <s v="GO"/>
        <s v="ES"/>
        <s v="PE"/>
        <s v="CE"/>
        <s v="PA"/>
        <s v="MT"/>
        <s v="MA"/>
        <s v="MS"/>
        <s v="PB"/>
        <s v="PI"/>
        <s v="RN"/>
        <s v="AL"/>
        <s v="SE"/>
        <s v="TO"/>
        <s v="RO"/>
        <s v="AM"/>
        <s v="AC"/>
        <s v="AP"/>
        <s v="RR"/>
      </sharedItems>
    </cacheField>
    <cacheField name="total_revenue" numFmtId="0">
      <sharedItems containsSemiMixedTypes="0" containsString="0" containsNumber="1" minValue="7829.43" maxValue="5202955.05"/>
    </cacheField>
  </cacheFields>
  <extLst>
    <ext xmlns:x14="http://schemas.microsoft.com/office/spreadsheetml/2009/9/main" uri="{725AE2AE-9491-48be-B2B4-4EB974FC3084}">
      <x14:pivotCacheDefinition pivotCacheId="19528876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Shree" refreshedDate="46178.681451736113" createdVersion="8" refreshedVersion="8" minRefreshableVersion="3" recordCount="10" xr:uid="{99E39683-1EAA-4DB8-88D3-453B3AE98680}">
  <cacheSource type="worksheet">
    <worksheetSource name="top_cities_customers"/>
  </cacheSource>
  <cacheFields count="2">
    <cacheField name="customer_city" numFmtId="0">
      <sharedItems count="10">
        <s v="sao paulo"/>
        <s v="rio de janeiro"/>
        <s v="belo horizonte"/>
        <s v="brasilia"/>
        <s v="curitiba"/>
        <s v="campinas"/>
        <s v="porto alegre"/>
        <s v="salvador"/>
        <s v="guarulhos"/>
        <s v="sao bernardo do campo"/>
      </sharedItems>
    </cacheField>
    <cacheField name="total_customers" numFmtId="0">
      <sharedItems containsSemiMixedTypes="0" containsString="0" containsNumber="1" containsInteger="1" minValue="938" maxValue="1554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Shree" refreshedDate="46178.68354085648" createdVersion="8" refreshedVersion="8" minRefreshableVersion="3" recordCount="5" xr:uid="{E89060E9-CF0B-4C8A-AA2A-F2AFD90FEA3A}">
  <cacheSource type="worksheet">
    <worksheetSource name="payment_distribution"/>
  </cacheSource>
  <cacheFields count="2">
    <cacheField name="payment_type" numFmtId="0">
      <sharedItems count="5">
        <s v="credit_card"/>
        <s v="boleto"/>
        <s v="voucher"/>
        <s v="debit_card"/>
        <s v="not_defined"/>
      </sharedItems>
    </cacheField>
    <cacheField name="total_payments" numFmtId="166">
      <sharedItems containsSemiMixedTypes="0" containsString="0" containsNumber="1" containsInteger="1" minValue="3" maxValue="7679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Shree" refreshedDate="46179.799752314815" createdVersion="8" refreshedVersion="8" minRefreshableVersion="3" recordCount="23" xr:uid="{DD718980-499D-4F50-BCF2-EA24621DBE2B}">
  <cacheSource type="worksheet">
    <worksheetSource name="monthly_revenue"/>
  </cacheSource>
  <cacheFields count="5">
    <cacheField name="month" numFmtId="14">
      <sharedItems containsSemiMixedTypes="0" containsNonDate="0" containsDate="1" containsString="0" minDate="2016-09-01T00:00:00" maxDate="2018-08-02T00:00:00" count="23">
        <d v="2016-09-01T00:00:00"/>
        <d v="2016-10-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sharedItems>
      <fieldGroup par="4"/>
    </cacheField>
    <cacheField name="monthly_revenue" numFmtId="0">
      <sharedItems containsSemiMixedTypes="0" containsString="0" containsNumber="1" minValue="10.9" maxValue="1010271.37"/>
    </cacheField>
    <cacheField name="Months (month)" numFmtId="0" databaseField="0">
      <fieldGroup base="0">
        <rangePr groupBy="months" startDate="2016-09-01T00:00:00" endDate="2018-08-02T00:00:00"/>
        <groupItems count="14">
          <s v="&lt;01-09-2016"/>
          <s v="Jan"/>
          <s v="Feb"/>
          <s v="Mar"/>
          <s v="Apr"/>
          <s v="May"/>
          <s v="Jun"/>
          <s v="Jul"/>
          <s v="Aug"/>
          <s v="Sep"/>
          <s v="Oct"/>
          <s v="Nov"/>
          <s v="Dec"/>
          <s v="&gt;02-08-2018"/>
        </groupItems>
      </fieldGroup>
    </cacheField>
    <cacheField name="Quarters (month)" numFmtId="0" databaseField="0">
      <fieldGroup base="0">
        <rangePr groupBy="quarters" startDate="2016-09-01T00:00:00" endDate="2018-08-02T00:00:00"/>
        <groupItems count="6">
          <s v="&lt;01-09-2016"/>
          <s v="Qtr1"/>
          <s v="Qtr2"/>
          <s v="Qtr3"/>
          <s v="Qtr4"/>
          <s v="&gt;02-08-2018"/>
        </groupItems>
      </fieldGroup>
    </cacheField>
    <cacheField name="Years (month)" numFmtId="0" databaseField="0">
      <fieldGroup base="0">
        <rangePr groupBy="years" startDate="2016-09-01T00:00:00" endDate="2018-08-02T00:00:00"/>
        <groupItems count="5">
          <s v="&lt;01-09-2016"/>
          <s v="2016"/>
          <s v="2017"/>
          <s v="2018"/>
          <s v="&gt;02-08-2018"/>
        </groupItems>
      </fieldGroup>
    </cacheField>
  </cacheFields>
  <extLst>
    <ext xmlns:x14="http://schemas.microsoft.com/office/spreadsheetml/2009/9/main" uri="{725AE2AE-9491-48be-B2B4-4EB974FC3084}">
      <x14:pivotCacheDefinition pivotCacheId="2020219976"/>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Shree" refreshedDate="46180.959854166664" createdVersion="8" refreshedVersion="8" minRefreshableVersion="3" recordCount="8" xr:uid="{4B79447B-85C2-4DAC-A6E9-81E451AC6A9C}">
  <cacheSource type="worksheet">
    <worksheetSource name="orders_by_status"/>
  </cacheSource>
  <cacheFields count="2">
    <cacheField name="order_status" numFmtId="0">
      <sharedItems count="8">
        <s v="delivered"/>
        <s v="shipped"/>
        <s v="canceled"/>
        <s v="unavailable"/>
        <s v="invoiced"/>
        <s v="processing"/>
        <s v="created"/>
        <s v="approved"/>
      </sharedItems>
    </cacheField>
    <cacheField name="total_orders" numFmtId="0">
      <sharedItems containsSemiMixedTypes="0" containsString="0" containsNumber="1" containsInteger="1" minValue="2" maxValue="96478"/>
    </cacheField>
  </cacheFields>
  <extLst>
    <ext xmlns:x14="http://schemas.microsoft.com/office/spreadsheetml/2009/9/main" uri="{725AE2AE-9491-48be-B2B4-4EB974FC3084}">
      <x14:pivotCacheDefinition pivotCacheId="324070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3029"/>
  </r>
  <r>
    <x v="1"/>
    <n v="2867"/>
  </r>
  <r>
    <x v="2"/>
    <n v="2657"/>
  </r>
  <r>
    <x v="3"/>
    <n v="2444"/>
  </r>
  <r>
    <x v="4"/>
    <n v="23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5202955.05"/>
  </r>
  <r>
    <x v="1"/>
    <n v="1824092.67"/>
  </r>
  <r>
    <x v="2"/>
    <n v="1585308.03"/>
  </r>
  <r>
    <x v="3"/>
    <n v="750304.02"/>
  </r>
  <r>
    <x v="4"/>
    <n v="683083.76"/>
  </r>
  <r>
    <x v="5"/>
    <n v="520553.34"/>
  </r>
  <r>
    <x v="6"/>
    <n v="511349.99"/>
  </r>
  <r>
    <x v="7"/>
    <n v="302603.94"/>
  </r>
  <r>
    <x v="8"/>
    <n v="294591.95"/>
  </r>
  <r>
    <x v="9"/>
    <n v="275037.31"/>
  </r>
  <r>
    <x v="10"/>
    <n v="262788.03000000003"/>
  </r>
  <r>
    <x v="11"/>
    <n v="227254.71"/>
  </r>
  <r>
    <x v="12"/>
    <n v="178947.81"/>
  </r>
  <r>
    <x v="13"/>
    <n v="156453.53"/>
  </r>
  <r>
    <x v="14"/>
    <n v="119648.22"/>
  </r>
  <r>
    <x v="15"/>
    <n v="116812.64"/>
  </r>
  <r>
    <x v="16"/>
    <n v="115268.08"/>
  </r>
  <r>
    <x v="17"/>
    <n v="86914.08"/>
  </r>
  <r>
    <x v="18"/>
    <n v="83034.98"/>
  </r>
  <r>
    <x v="19"/>
    <n v="80314.81"/>
  </r>
  <r>
    <x v="20"/>
    <n v="58920.85"/>
  </r>
  <r>
    <x v="21"/>
    <n v="49621.74"/>
  </r>
  <r>
    <x v="22"/>
    <n v="46140.639999999999"/>
  </r>
  <r>
    <x v="23"/>
    <n v="22356.84"/>
  </r>
  <r>
    <x v="24"/>
    <n v="15982.95"/>
  </r>
  <r>
    <x v="25"/>
    <n v="13474.3"/>
  </r>
  <r>
    <x v="26"/>
    <n v="7829.4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5540"/>
  </r>
  <r>
    <x v="1"/>
    <n v="6882"/>
  </r>
  <r>
    <x v="2"/>
    <n v="2773"/>
  </r>
  <r>
    <x v="3"/>
    <n v="2131"/>
  </r>
  <r>
    <x v="4"/>
    <n v="1521"/>
  </r>
  <r>
    <x v="5"/>
    <n v="1444"/>
  </r>
  <r>
    <x v="6"/>
    <n v="1379"/>
  </r>
  <r>
    <x v="7"/>
    <n v="1245"/>
  </r>
  <r>
    <x v="8"/>
    <n v="1189"/>
  </r>
  <r>
    <x v="9"/>
    <n v="93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76795"/>
  </r>
  <r>
    <x v="1"/>
    <n v="19784"/>
  </r>
  <r>
    <x v="2"/>
    <n v="5775"/>
  </r>
  <r>
    <x v="3"/>
    <n v="1529"/>
  </r>
  <r>
    <x v="4"/>
    <n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267.36"/>
  </r>
  <r>
    <x v="1"/>
    <n v="49507.66"/>
  </r>
  <r>
    <x v="2"/>
    <n v="10.9"/>
  </r>
  <r>
    <x v="3"/>
    <n v="120312.87"/>
  </r>
  <r>
    <x v="4"/>
    <n v="247303.02"/>
  </r>
  <r>
    <x v="5"/>
    <n v="374344.3"/>
  </r>
  <r>
    <x v="6"/>
    <n v="359927.23"/>
  </r>
  <r>
    <x v="7"/>
    <n v="506071.14"/>
  </r>
  <r>
    <x v="8"/>
    <n v="433038.6"/>
  </r>
  <r>
    <x v="9"/>
    <n v="498031.48"/>
  </r>
  <r>
    <x v="10"/>
    <n v="573971.68000000005"/>
  </r>
  <r>
    <x v="11"/>
    <n v="624401.68999999994"/>
  </r>
  <r>
    <x v="12"/>
    <n v="664219.43000000005"/>
  </r>
  <r>
    <x v="13"/>
    <n v="1010271.37"/>
  </r>
  <r>
    <x v="14"/>
    <n v="743914.17"/>
  </r>
  <r>
    <x v="15"/>
    <n v="950030.36"/>
  </r>
  <r>
    <x v="16"/>
    <n v="844178.71"/>
  </r>
  <r>
    <x v="17"/>
    <n v="983213.44"/>
  </r>
  <r>
    <x v="18"/>
    <n v="996647.75"/>
  </r>
  <r>
    <x v="19"/>
    <n v="996517.68"/>
  </r>
  <r>
    <x v="20"/>
    <n v="865124.31"/>
  </r>
  <r>
    <x v="21"/>
    <n v="895507.22"/>
  </r>
  <r>
    <x v="22"/>
    <n v="854686.3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96478"/>
  </r>
  <r>
    <x v="1"/>
    <n v="1107"/>
  </r>
  <r>
    <x v="2"/>
    <n v="625"/>
  </r>
  <r>
    <x v="3"/>
    <n v="609"/>
  </r>
  <r>
    <x v="4"/>
    <n v="314"/>
  </r>
  <r>
    <x v="5"/>
    <n v="301"/>
  </r>
  <r>
    <x v="6"/>
    <n v="5"/>
  </r>
  <r>
    <x v="7"/>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9D045A-EE2A-4923-81AF-D7D9B6700683}" name="PivotTable1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17:B27" firstHeaderRow="1" firstDataRow="1" firstDataCol="1"/>
  <pivotFields count="2">
    <pivotField axis="axisRow" showAll="0" sortType="ascending">
      <items count="11">
        <item x="2"/>
        <item x="3"/>
        <item x="5"/>
        <item x="4"/>
        <item x="8"/>
        <item x="6"/>
        <item x="1"/>
        <item x="7"/>
        <item x="9"/>
        <item x="0"/>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0">
    <i>
      <x v="8"/>
    </i>
    <i>
      <x v="4"/>
    </i>
    <i>
      <x v="7"/>
    </i>
    <i>
      <x v="5"/>
    </i>
    <i>
      <x v="2"/>
    </i>
    <i>
      <x v="3"/>
    </i>
    <i>
      <x v="1"/>
    </i>
    <i>
      <x/>
    </i>
    <i>
      <x v="6"/>
    </i>
    <i>
      <x v="9"/>
    </i>
  </rowItems>
  <colItems count="1">
    <i/>
  </colItems>
  <dataFields count="1">
    <dataField name="Sum of total_customers" fld="1" baseField="0" baseItem="0" numFmtId="166"/>
  </dataFields>
  <formats count="4">
    <format dxfId="3">
      <pivotArea outline="0" collapsedLevelsAreSubtotals="1" fieldPosition="0"/>
    </format>
    <format dxfId="2">
      <pivotArea dataOnly="0" labelOnly="1" outline="0" axis="axisValues" fieldPosition="0"/>
    </format>
    <format dxfId="1">
      <pivotArea field="0" type="button" dataOnly="0" labelOnly="1" outline="0" axis="axisRow" fieldPosition="0"/>
    </format>
    <format dxfId="0">
      <pivotArea dataOnly="0" labelOnly="1" outline="0" axis="axisValues" fieldPosition="0"/>
    </format>
  </format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F71DF9-1646-40BA-902A-C5E212E7401E}"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D1:E11" firstHeaderRow="1" firstDataRow="1" firstDataCol="1"/>
  <pivotFields count="2">
    <pivotField axis="axisRow" showAll="0" measureFilter="1" sortType="descending">
      <items count="28">
        <item x="24"/>
        <item x="19"/>
        <item x="23"/>
        <item x="25"/>
        <item x="6"/>
        <item x="11"/>
        <item x="7"/>
        <item x="9"/>
        <item x="8"/>
        <item x="14"/>
        <item x="2"/>
        <item x="15"/>
        <item x="13"/>
        <item x="12"/>
        <item x="16"/>
        <item x="10"/>
        <item x="17"/>
        <item x="4"/>
        <item x="1"/>
        <item x="18"/>
        <item x="22"/>
        <item x="26"/>
        <item x="3"/>
        <item x="5"/>
        <item x="20"/>
        <item x="0"/>
        <item x="2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0">
    <i>
      <x v="25"/>
    </i>
    <i>
      <x v="18"/>
    </i>
    <i>
      <x v="10"/>
    </i>
    <i>
      <x v="22"/>
    </i>
    <i>
      <x v="17"/>
    </i>
    <i>
      <x v="23"/>
    </i>
    <i>
      <x v="4"/>
    </i>
    <i>
      <x v="6"/>
    </i>
    <i>
      <x v="8"/>
    </i>
    <i>
      <x v="7"/>
    </i>
  </rowItems>
  <colItems count="1">
    <i/>
  </colItems>
  <dataFields count="1">
    <dataField name="Sum of total_revenue" fld="1" baseField="0" baseItem="0" numFmtId="165"/>
  </dataFields>
  <formats count="4">
    <format dxfId="7">
      <pivotArea outline="0" collapsedLevelsAreSubtotals="1" fieldPosition="0"/>
    </format>
    <format dxfId="6">
      <pivotArea dataOnly="0" labelOnly="1" outline="0" axis="axisValues" fieldPosition="0"/>
    </format>
    <format dxfId="5">
      <pivotArea field="0" type="button" dataOnly="0" labelOnly="1" outline="0" axis="axisRow" fieldPosition="0"/>
    </format>
    <format dxfId="4">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8B5D38-586D-4975-95C3-2E1923C25B6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G1:H6" firstHeaderRow="1" firstDataRow="1" firstDataCol="1"/>
  <pivotFields count="2">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v="1"/>
    </i>
    <i>
      <x v="2"/>
    </i>
    <i>
      <x v="3"/>
    </i>
    <i>
      <x/>
    </i>
    <i>
      <x v="4"/>
    </i>
  </rowItems>
  <colItems count="1">
    <i/>
  </colItems>
  <dataFields count="1">
    <dataField name="Sum of total_products" fld="1" baseField="0" baseItem="0" numFmtId="165"/>
  </dataFields>
  <formats count="4">
    <format dxfId="11">
      <pivotArea outline="0" collapsedLevelsAreSubtotals="1" fieldPosition="0"/>
    </format>
    <format dxfId="10">
      <pivotArea dataOnly="0" labelOnly="1" outline="0" axis="axisValues" fieldPosition="0"/>
    </format>
    <format dxfId="9">
      <pivotArea field="0" type="button" dataOnly="0" labelOnly="1" outline="0" axis="axisRow" fieldPosition="0"/>
    </format>
    <format dxfId="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A83298-13C5-405C-9272-655DC4911DB4}" name="PivotTable7" cacheId="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4">
  <location ref="G10:I13" firstHeaderRow="0" firstDataRow="1" firstDataCol="1"/>
  <pivotFields count="2">
    <pivotField axis="axisRow" showAll="0" measureFilter="1" sortType="descending">
      <items count="9">
        <item x="7"/>
        <item x="2"/>
        <item x="6"/>
        <item x="0"/>
        <item x="4"/>
        <item x="5"/>
        <item x="1"/>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3">
    <i>
      <x v="3"/>
    </i>
    <i>
      <x v="6"/>
    </i>
    <i>
      <x v="1"/>
    </i>
  </rowItems>
  <colFields count="1">
    <field x="-2"/>
  </colFields>
  <colItems count="2">
    <i>
      <x/>
    </i>
    <i i="1">
      <x v="1"/>
    </i>
  </colItems>
  <dataFields count="2">
    <dataField name="Sum of total_orders" fld="1" baseField="0" baseItem="0"/>
    <dataField name="Sum of total_orders2" fld="1" showDataAs="percentOfTotal" baseField="0" baseItem="0" numFmtId="10"/>
  </dataFields>
  <formats count="5">
    <format dxfId="16">
      <pivotArea outline="0" collapsedLevelsAreSubtotals="1" fieldPosition="0"/>
    </format>
    <format dxfId="15">
      <pivotArea dataOnly="0" labelOnly="1" outline="0" axis="axisValues" fieldPosition="0"/>
    </format>
    <format dxfId="14">
      <pivotArea field="0" type="button" dataOnly="0" labelOnly="1" outline="0" axis="axisRow" fieldPosition="0"/>
    </format>
    <format dxfId="13">
      <pivotArea dataOnly="0" labelOnly="1" outline="0" axis="axisValues" fieldPosition="0"/>
    </format>
    <format dxfId="12">
      <pivotArea outline="0" fieldPosition="0">
        <references count="1">
          <reference field="4294967294" count="1">
            <x v="1"/>
          </reference>
        </references>
      </pivotArea>
    </format>
  </formats>
  <chartFormats count="5">
    <chartFormat chart="47" format="6" series="1">
      <pivotArea type="data" outline="0" fieldPosition="0">
        <references count="1">
          <reference field="4294967294" count="1" selected="0">
            <x v="0"/>
          </reference>
        </references>
      </pivotArea>
    </chartFormat>
    <chartFormat chart="47" format="7" series="1">
      <pivotArea type="data" outline="0" fieldPosition="0">
        <references count="1">
          <reference field="4294967294" count="1" selected="0">
            <x v="1"/>
          </reference>
        </references>
      </pivotArea>
    </chartFormat>
    <chartFormat chart="47" format="8">
      <pivotArea type="data" outline="0" fieldPosition="0">
        <references count="2">
          <reference field="4294967294" count="1" selected="0">
            <x v="1"/>
          </reference>
          <reference field="0" count="1" selected="0">
            <x v="3"/>
          </reference>
        </references>
      </pivotArea>
    </chartFormat>
    <chartFormat chart="47" format="9">
      <pivotArea type="data" outline="0" fieldPosition="0">
        <references count="2">
          <reference field="4294967294" count="1" selected="0">
            <x v="1"/>
          </reference>
          <reference field="0" count="1" selected="0">
            <x v="6"/>
          </reference>
        </references>
      </pivotArea>
    </chartFormat>
    <chartFormat chart="47" format="10">
      <pivotArea type="data" outline="0" fieldPosition="0">
        <references count="2">
          <reference field="4294967294" count="1" selected="0">
            <x v="1"/>
          </reference>
          <reference field="0" count="1" selected="0">
            <x v="1"/>
          </reference>
        </references>
      </pivotArea>
    </chartFormat>
  </chartFormats>
  <pivotTableStyleInfo name="PivotStyleMedium15" showRowHeaders="1" showColHeaders="1" showRowStripes="0" showColStripes="0" showLastColumn="1"/>
  <filters count="1">
    <filter fld="0"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9E41AE-72BE-4BE8-A59D-841AAF9FE98E}" name="PivotTable18"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D20:E24" firstHeaderRow="1" firstDataRow="1" firstDataCol="1"/>
  <pivotFields count="2">
    <pivotField axis="axisRow" showAll="0" measureFilter="1"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dataField="1" numFmtId="165" showAll="0"/>
  </pivotFields>
  <rowFields count="1">
    <field x="0"/>
  </rowFields>
  <rowItems count="4">
    <i>
      <x v="1"/>
    </i>
    <i>
      <x/>
    </i>
    <i>
      <x v="4"/>
    </i>
    <i>
      <x v="2"/>
    </i>
  </rowItems>
  <colItems count="1">
    <i/>
  </colItems>
  <dataFields count="1">
    <dataField name="Sum of total_payments" fld="1" baseField="0" baseItem="0" numFmtId="166"/>
  </dataFields>
  <formats count="5">
    <format dxfId="21">
      <pivotArea outline="0" collapsedLevelsAreSubtotals="1" fieldPosition="0"/>
    </format>
    <format dxfId="20">
      <pivotArea dataOnly="0" labelOnly="1" outline="0" axis="axisValues" fieldPosition="0"/>
    </format>
    <format dxfId="19">
      <pivotArea dataOnly="0" labelOnly="1" outline="0" axis="axisValues" fieldPosition="0"/>
    </format>
    <format dxfId="18">
      <pivotArea field="0" type="button" dataOnly="0" labelOnly="1" outline="0" axis="axisRow" fieldPosition="0"/>
    </format>
    <format dxfId="1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s>
  <pivotTableStyleInfo name="PivotStyleMedium15" showRowHeaders="1" showColHeaders="1" showRowStripes="0" showColStripes="0" showLastColumn="1"/>
  <filters count="1">
    <filter fld="0"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FFC056-DCEE-4127-A810-849B89CDF2A8}" name="PivotTable2"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7">
  <location ref="A1:B13" firstHeaderRow="1" firstDataRow="1" firstDataCol="1"/>
  <pivotFields count="5">
    <pivotField axis="axisRow" numFmtId="14" showAll="0">
      <items count="24">
        <item x="0"/>
        <item x="1"/>
        <item x="2"/>
        <item x="3"/>
        <item x="4"/>
        <item x="5"/>
        <item x="6"/>
        <item x="7"/>
        <item x="8"/>
        <item x="9"/>
        <item x="10"/>
        <item x="11"/>
        <item x="12"/>
        <item x="13"/>
        <item x="14"/>
        <item x="15"/>
        <item x="16"/>
        <item x="17"/>
        <item x="18"/>
        <item x="19"/>
        <item x="20"/>
        <item x="21"/>
        <item x="22"/>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
    <field x="0"/>
  </rowFields>
  <rowItems count="12">
    <i>
      <x v="1"/>
    </i>
    <i>
      <x v="2"/>
    </i>
    <i>
      <x v="3"/>
    </i>
    <i>
      <x v="4"/>
    </i>
    <i>
      <x v="5"/>
    </i>
    <i>
      <x v="6"/>
    </i>
    <i>
      <x v="7"/>
    </i>
    <i>
      <x v="8"/>
    </i>
    <i>
      <x v="9"/>
    </i>
    <i>
      <x v="10"/>
    </i>
    <i>
      <x v="11"/>
    </i>
    <i>
      <x v="12"/>
    </i>
  </rowItems>
  <colItems count="1">
    <i/>
  </colItems>
  <dataFields count="1">
    <dataField name="Sum of monthly_revenue" fld="1" baseField="0" baseItem="0"/>
  </dataFields>
  <formats count="2">
    <format dxfId="23">
      <pivotArea field="2" type="button" dataOnly="0" labelOnly="1" outline="0" axis="axisRow" fieldPosition="0"/>
    </format>
    <format dxfId="2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37C492-1699-4D3A-9410-42A2F1454D96}" autoFormatId="16" applyNumberFormats="0" applyBorderFormats="0" applyFontFormats="0" applyPatternFormats="0" applyAlignmentFormats="0" applyWidthHeightFormats="0">
  <queryTableRefresh nextId="3">
    <queryTableFields count="2">
      <queryTableField id="1" name="month" tableColumnId="1"/>
      <queryTableField id="2" name="monthly_reven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AECB9B1-1703-47AC-A8C1-87236192994A}" autoFormatId="16" applyNumberFormats="0" applyBorderFormats="0" applyFontFormats="0" applyPatternFormats="0" applyAlignmentFormats="0" applyWidthHeightFormats="0">
  <queryTableRefresh nextId="3">
    <queryTableFields count="2">
      <queryTableField id="1" name="order_status" tableColumnId="1"/>
      <queryTableField id="2" name="total_order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17140AF-4150-4A01-8826-8D6B4D22D0FB}" autoFormatId="16" applyNumberFormats="0" applyBorderFormats="0" applyFontFormats="0" applyPatternFormats="0" applyAlignmentFormats="0" applyWidthHeightFormats="0">
  <queryTableRefresh nextId="3">
    <queryTableFields count="2">
      <queryTableField id="1" name="payment_type" tableColumnId="1"/>
      <queryTableField id="2" name="total_payment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03822ACD-9DA4-40FE-A41C-3D6CB3F54FCD}" autoFormatId="16" applyNumberFormats="0" applyBorderFormats="0" applyFontFormats="0" applyPatternFormats="0" applyAlignmentFormats="0" applyWidthHeightFormats="0">
  <queryTableRefresh nextId="3">
    <queryTableFields count="2">
      <queryTableField id="1" name="product_category_name" tableColumnId="1"/>
      <queryTableField id="2" name="total_products"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7" xr16:uid="{B175988E-C3D7-4C5B-A29E-CEF52E63EF4D}" autoFormatId="16" applyNumberFormats="0" applyBorderFormats="0" applyFontFormats="0" applyPatternFormats="0" applyAlignmentFormats="0" applyWidthHeightFormats="0">
  <queryTableRefresh nextId="3">
    <queryTableFields count="2">
      <queryTableField id="1" name="customer_state" tableColumnId="1"/>
      <queryTableField id="2" name="total_revenu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A60F6A5C-D03C-4AE1-8904-9815C7533F32}" autoFormatId="16" applyNumberFormats="0" applyBorderFormats="0" applyFontFormats="0" applyPatternFormats="0" applyAlignmentFormats="0" applyWidthHeightFormats="0">
  <queryTableRefresh nextId="3">
    <queryTableFields count="2">
      <queryTableField id="1" name="customer_city" tableColumnId="1"/>
      <queryTableField id="2" name="total_customer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 xr10:uid="{DE4FD07E-DAEA-48BA-8BE2-AEF0392D12A0}" sourceName="Years (month)">
  <pivotTables>
    <pivotTable tabId="30" name="PivotTable2"/>
  </pivotTables>
  <data>
    <tabular pivotCacheId="2020219976">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1130364E-3382-4C7E-B2B4-55DCAD8FBDC4}" cache="Slicer_Years__month" caption="Years "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930089-7A69-4524-8862-0A65C8E48B5E}" name="monthly_revenue" displayName="monthly_revenue" ref="A1:B24" tableType="queryTable" totalsRowShown="0">
  <autoFilter ref="A1:B24" xr:uid="{6A930089-7A69-4524-8862-0A65C8E48B5E}"/>
  <tableColumns count="2">
    <tableColumn id="1" xr3:uid="{70AF75FD-3AD5-4FE8-B4FC-D1094DE1652F}" uniqueName="1" name="month" queryTableFieldId="1" dataDxfId="31"/>
    <tableColumn id="2" xr3:uid="{5C41D94F-C981-43FA-AB95-50AF8E0CA049}" uniqueName="2" name="monthly_revenue"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E607F9-6273-42F4-A412-8825FD6688B7}" name="orders_by_status" displayName="orders_by_status" ref="A1:B9" tableType="queryTable" totalsRowShown="0">
  <autoFilter ref="A1:B9" xr:uid="{6AE607F9-6273-42F4-A412-8825FD6688B7}"/>
  <tableColumns count="2">
    <tableColumn id="1" xr3:uid="{237D9FE1-4E18-4FAC-AF81-9BC667D3F476}" uniqueName="1" name="order_status" queryTableFieldId="1" dataDxfId="30"/>
    <tableColumn id="2" xr3:uid="{A81C5C4F-681B-4F30-B315-69E52B2607FD}" uniqueName="2" name="total_orders"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69A42F-2616-49AC-B23B-AAE12833336F}" name="payment_distribution" displayName="payment_distribution" ref="A1:B6" tableType="queryTable" totalsRowShown="0">
  <autoFilter ref="A1:B6" xr:uid="{6F69A42F-2616-49AC-B23B-AAE12833336F}"/>
  <tableColumns count="2">
    <tableColumn id="1" xr3:uid="{453D5749-4F91-4E7B-9618-F952FBA6EFD0}" uniqueName="1" name="payment_type" queryTableFieldId="1" dataDxfId="29"/>
    <tableColumn id="2" xr3:uid="{BAE55B7A-2EBA-4433-83DF-D3D74F796C39}" uniqueName="2" name="total_payments" queryTableFieldId="2" dataDxfId="2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76A396-8421-4CA4-94ED-9F2DB2BB90CE}" name="revenue_by_category__3" displayName="revenue_by_category__3" ref="A1:B7" tableType="queryTable" totalsRowCount="1">
  <autoFilter ref="A1:B6" xr:uid="{B976A396-8421-4CA4-94ED-9F2DB2BB90CE}"/>
  <tableColumns count="2">
    <tableColumn id="1" xr3:uid="{326BD7F9-C5A3-4994-B3EC-B5B50CA47669}" uniqueName="1" name="product_category_name" queryTableFieldId="1" dataDxfId="27" totalsRowDxfId="26"/>
    <tableColumn id="2" xr3:uid="{3E215688-0089-4B52-A097-3D923DD556A6}" uniqueName="2" name="total_products"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BADE573-F93E-4BDE-AD4D-B13BE2BCF652}" name="revenue_by_state" displayName="revenue_by_state" ref="A1:B28" tableType="queryTable" totalsRowShown="0">
  <autoFilter ref="A1:B28" xr:uid="{0BADE573-F93E-4BDE-AD4D-B13BE2BCF652}"/>
  <tableColumns count="2">
    <tableColumn id="1" xr3:uid="{6A5338F6-6F7E-4641-8817-10F3DBE0BD68}" uniqueName="1" name="customer_state" queryTableFieldId="1" dataDxfId="25"/>
    <tableColumn id="2" xr3:uid="{5A134F13-1847-4FB1-8FF9-BD0344D3C3BF}" uniqueName="2" name="total_revenue"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8A6E041-37F3-4B53-9408-47F3FB6B3479}" name="top_cities_customers" displayName="top_cities_customers" ref="A1:B11" tableType="queryTable" totalsRowShown="0">
  <autoFilter ref="A1:B11" xr:uid="{28A6E041-37F3-4B53-9408-47F3FB6B3479}"/>
  <tableColumns count="2">
    <tableColumn id="1" xr3:uid="{F98AEFA8-2213-40FE-A7F0-A5C1E3E1B5F0}" uniqueName="1" name="customer_city" queryTableFieldId="1" dataDxfId="24"/>
    <tableColumn id="2" xr3:uid="{35E4CDFA-23E7-4696-84CB-9F585AE0FF17}" uniqueName="2" name="total_customers"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5BF0-5601-4CE0-A54D-2752E8F4D4E0}">
  <dimension ref="A1:B24"/>
  <sheetViews>
    <sheetView workbookViewId="0">
      <selection sqref="A1:B24"/>
    </sheetView>
  </sheetViews>
  <sheetFormatPr defaultRowHeight="14.4" x14ac:dyDescent="0.3"/>
  <cols>
    <col min="1" max="1" width="20.33203125" style="3" customWidth="1"/>
    <col min="2" max="2" width="18.33203125" bestFit="1" customWidth="1"/>
    <col min="7" max="7" width="12.5546875" bestFit="1" customWidth="1"/>
    <col min="8" max="8" width="22.77734375" bestFit="1" customWidth="1"/>
  </cols>
  <sheetData>
    <row r="1" spans="1:2" x14ac:dyDescent="0.3">
      <c r="A1" s="3" t="s">
        <v>0</v>
      </c>
      <c r="B1" t="s">
        <v>1</v>
      </c>
    </row>
    <row r="2" spans="1:2" x14ac:dyDescent="0.3">
      <c r="A2" s="3">
        <v>42614</v>
      </c>
      <c r="B2">
        <v>267.36</v>
      </c>
    </row>
    <row r="3" spans="1:2" x14ac:dyDescent="0.3">
      <c r="A3" s="3">
        <v>42644</v>
      </c>
      <c r="B3">
        <v>49507.66</v>
      </c>
    </row>
    <row r="4" spans="1:2" x14ac:dyDescent="0.3">
      <c r="A4" s="3">
        <v>42705</v>
      </c>
      <c r="B4">
        <v>10.9</v>
      </c>
    </row>
    <row r="5" spans="1:2" x14ac:dyDescent="0.3">
      <c r="A5" s="3">
        <v>42736</v>
      </c>
      <c r="B5">
        <v>120312.87</v>
      </c>
    </row>
    <row r="6" spans="1:2" x14ac:dyDescent="0.3">
      <c r="A6" s="3">
        <v>42767</v>
      </c>
      <c r="B6">
        <v>247303.02</v>
      </c>
    </row>
    <row r="7" spans="1:2" x14ac:dyDescent="0.3">
      <c r="A7" s="3">
        <v>42795</v>
      </c>
      <c r="B7">
        <v>374344.3</v>
      </c>
    </row>
    <row r="8" spans="1:2" x14ac:dyDescent="0.3">
      <c r="A8" s="3">
        <v>42826</v>
      </c>
      <c r="B8">
        <v>359927.23</v>
      </c>
    </row>
    <row r="9" spans="1:2" x14ac:dyDescent="0.3">
      <c r="A9" s="3">
        <v>42856</v>
      </c>
      <c r="B9">
        <v>506071.14</v>
      </c>
    </row>
    <row r="10" spans="1:2" x14ac:dyDescent="0.3">
      <c r="A10" s="3">
        <v>42887</v>
      </c>
      <c r="B10">
        <v>433038.6</v>
      </c>
    </row>
    <row r="11" spans="1:2" x14ac:dyDescent="0.3">
      <c r="A11" s="3">
        <v>42917</v>
      </c>
      <c r="B11">
        <v>498031.48</v>
      </c>
    </row>
    <row r="12" spans="1:2" x14ac:dyDescent="0.3">
      <c r="A12" s="3">
        <v>42948</v>
      </c>
      <c r="B12">
        <v>573971.68000000005</v>
      </c>
    </row>
    <row r="13" spans="1:2" x14ac:dyDescent="0.3">
      <c r="A13" s="3">
        <v>42979</v>
      </c>
      <c r="B13">
        <v>624401.68999999994</v>
      </c>
    </row>
    <row r="14" spans="1:2" x14ac:dyDescent="0.3">
      <c r="A14" s="3">
        <v>43009</v>
      </c>
      <c r="B14">
        <v>664219.43000000005</v>
      </c>
    </row>
    <row r="15" spans="1:2" x14ac:dyDescent="0.3">
      <c r="A15" s="3">
        <v>43040</v>
      </c>
      <c r="B15">
        <v>1010271.37</v>
      </c>
    </row>
    <row r="16" spans="1:2" x14ac:dyDescent="0.3">
      <c r="A16" s="3">
        <v>43070</v>
      </c>
      <c r="B16">
        <v>743914.17</v>
      </c>
    </row>
    <row r="17" spans="1:2" x14ac:dyDescent="0.3">
      <c r="A17" s="3">
        <v>43101</v>
      </c>
      <c r="B17">
        <v>950030.36</v>
      </c>
    </row>
    <row r="18" spans="1:2" x14ac:dyDescent="0.3">
      <c r="A18" s="3">
        <v>43132</v>
      </c>
      <c r="B18">
        <v>844178.71</v>
      </c>
    </row>
    <row r="19" spans="1:2" x14ac:dyDescent="0.3">
      <c r="A19" s="3">
        <v>43160</v>
      </c>
      <c r="B19">
        <v>983213.44</v>
      </c>
    </row>
    <row r="20" spans="1:2" x14ac:dyDescent="0.3">
      <c r="A20" s="3">
        <v>43191</v>
      </c>
      <c r="B20">
        <v>996647.75</v>
      </c>
    </row>
    <row r="21" spans="1:2" x14ac:dyDescent="0.3">
      <c r="A21" s="3">
        <v>43221</v>
      </c>
      <c r="B21">
        <v>996517.68</v>
      </c>
    </row>
    <row r="22" spans="1:2" x14ac:dyDescent="0.3">
      <c r="A22" s="3">
        <v>43252</v>
      </c>
      <c r="B22">
        <v>865124.31</v>
      </c>
    </row>
    <row r="23" spans="1:2" x14ac:dyDescent="0.3">
      <c r="A23" s="3">
        <v>43282</v>
      </c>
      <c r="B23">
        <v>895507.22</v>
      </c>
    </row>
    <row r="24" spans="1:2" x14ac:dyDescent="0.3">
      <c r="A24" s="3">
        <v>43313</v>
      </c>
      <c r="B24">
        <v>854686.33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1DC30-36D3-4AAB-815F-CC41BCEB4DD4}">
  <dimension ref="A1:B9"/>
  <sheetViews>
    <sheetView workbookViewId="0">
      <selection sqref="A1:B9"/>
    </sheetView>
  </sheetViews>
  <sheetFormatPr defaultRowHeight="14.4" x14ac:dyDescent="0.3"/>
  <cols>
    <col min="1" max="1" width="13.77734375" bestFit="1" customWidth="1"/>
    <col min="2" max="2" width="13.44140625" bestFit="1" customWidth="1"/>
  </cols>
  <sheetData>
    <row r="1" spans="1:2" x14ac:dyDescent="0.3">
      <c r="A1" t="s">
        <v>3</v>
      </c>
      <c r="B1" t="s">
        <v>4</v>
      </c>
    </row>
    <row r="2" spans="1:2" x14ac:dyDescent="0.3">
      <c r="A2" t="s">
        <v>5</v>
      </c>
      <c r="B2">
        <v>96478</v>
      </c>
    </row>
    <row r="3" spans="1:2" x14ac:dyDescent="0.3">
      <c r="A3" t="s">
        <v>6</v>
      </c>
      <c r="B3">
        <v>1107</v>
      </c>
    </row>
    <row r="4" spans="1:2" x14ac:dyDescent="0.3">
      <c r="A4" t="s">
        <v>7</v>
      </c>
      <c r="B4">
        <v>625</v>
      </c>
    </row>
    <row r="5" spans="1:2" x14ac:dyDescent="0.3">
      <c r="A5" t="s">
        <v>8</v>
      </c>
      <c r="B5">
        <v>609</v>
      </c>
    </row>
    <row r="6" spans="1:2" x14ac:dyDescent="0.3">
      <c r="A6" t="s">
        <v>9</v>
      </c>
      <c r="B6">
        <v>314</v>
      </c>
    </row>
    <row r="7" spans="1:2" x14ac:dyDescent="0.3">
      <c r="A7" t="s">
        <v>10</v>
      </c>
      <c r="B7">
        <v>301</v>
      </c>
    </row>
    <row r="8" spans="1:2" x14ac:dyDescent="0.3">
      <c r="A8" t="s">
        <v>11</v>
      </c>
      <c r="B8">
        <v>5</v>
      </c>
    </row>
    <row r="9" spans="1:2" x14ac:dyDescent="0.3">
      <c r="A9" t="s">
        <v>12</v>
      </c>
      <c r="B9">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75E38-AF8E-4688-A851-619BFB4378F2}">
  <dimension ref="A1:B7"/>
  <sheetViews>
    <sheetView workbookViewId="0">
      <selection activeCell="I19" sqref="I19"/>
    </sheetView>
  </sheetViews>
  <sheetFormatPr defaultRowHeight="14.4" x14ac:dyDescent="0.3"/>
  <cols>
    <col min="1" max="1" width="15.6640625" bestFit="1" customWidth="1"/>
    <col min="2" max="2" width="16.5546875" bestFit="1" customWidth="1"/>
  </cols>
  <sheetData>
    <row r="1" spans="1:2" x14ac:dyDescent="0.3">
      <c r="A1" t="s">
        <v>14</v>
      </c>
      <c r="B1" s="5" t="s">
        <v>15</v>
      </c>
    </row>
    <row r="2" spans="1:2" x14ac:dyDescent="0.3">
      <c r="A2" t="s">
        <v>16</v>
      </c>
      <c r="B2" s="5">
        <v>76795</v>
      </c>
    </row>
    <row r="3" spans="1:2" x14ac:dyDescent="0.3">
      <c r="A3" t="s">
        <v>17</v>
      </c>
      <c r="B3" s="5">
        <v>19784</v>
      </c>
    </row>
    <row r="4" spans="1:2" x14ac:dyDescent="0.3">
      <c r="A4" t="s">
        <v>18</v>
      </c>
      <c r="B4" s="5">
        <v>5775</v>
      </c>
    </row>
    <row r="5" spans="1:2" x14ac:dyDescent="0.3">
      <c r="A5" t="s">
        <v>19</v>
      </c>
      <c r="B5" s="5">
        <v>1529</v>
      </c>
    </row>
    <row r="6" spans="1:2" x14ac:dyDescent="0.3">
      <c r="A6" t="s">
        <v>20</v>
      </c>
      <c r="B6" s="5">
        <v>3</v>
      </c>
    </row>
    <row r="7" spans="1:2" x14ac:dyDescent="0.3">
      <c r="B7" s="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9EF9-75D7-46B5-8113-365FD7A829DD}">
  <dimension ref="A1:B6"/>
  <sheetViews>
    <sheetView workbookViewId="0">
      <selection sqref="A1:B6"/>
    </sheetView>
  </sheetViews>
  <sheetFormatPr defaultRowHeight="14.4" x14ac:dyDescent="0.3"/>
  <cols>
    <col min="1" max="1" width="24.33203125" bestFit="1" customWidth="1"/>
    <col min="2" max="2" width="15.6640625" bestFit="1" customWidth="1"/>
  </cols>
  <sheetData>
    <row r="1" spans="1:2" x14ac:dyDescent="0.3">
      <c r="A1" t="s">
        <v>22</v>
      </c>
      <c r="B1" t="s">
        <v>71</v>
      </c>
    </row>
    <row r="2" spans="1:2" x14ac:dyDescent="0.3">
      <c r="A2" t="s">
        <v>25</v>
      </c>
      <c r="B2">
        <v>3029</v>
      </c>
    </row>
    <row r="3" spans="1:2" x14ac:dyDescent="0.3">
      <c r="A3" t="s">
        <v>26</v>
      </c>
      <c r="B3">
        <v>2867</v>
      </c>
    </row>
    <row r="4" spans="1:2" x14ac:dyDescent="0.3">
      <c r="A4" t="s">
        <v>27</v>
      </c>
      <c r="B4">
        <v>2657</v>
      </c>
    </row>
    <row r="5" spans="1:2" x14ac:dyDescent="0.3">
      <c r="A5" t="s">
        <v>24</v>
      </c>
      <c r="B5">
        <v>2444</v>
      </c>
    </row>
    <row r="6" spans="1:2" x14ac:dyDescent="0.3">
      <c r="A6" t="s">
        <v>28</v>
      </c>
      <c r="B6">
        <v>2335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75B98-B867-44E8-A64F-0ADF8F2CD8C9}">
  <dimension ref="A1:B28"/>
  <sheetViews>
    <sheetView workbookViewId="0">
      <selection sqref="A1:B28"/>
    </sheetView>
  </sheetViews>
  <sheetFormatPr defaultRowHeight="14.4" x14ac:dyDescent="0.3"/>
  <cols>
    <col min="1" max="1" width="16.33203125" bestFit="1" customWidth="1"/>
    <col min="2" max="2" width="15" bestFit="1" customWidth="1"/>
  </cols>
  <sheetData>
    <row r="1" spans="1:2" x14ac:dyDescent="0.3">
      <c r="A1" t="s">
        <v>30</v>
      </c>
      <c r="B1" t="s">
        <v>23</v>
      </c>
    </row>
    <row r="2" spans="1:2" x14ac:dyDescent="0.3">
      <c r="A2" t="s">
        <v>31</v>
      </c>
      <c r="B2">
        <v>5202955.05</v>
      </c>
    </row>
    <row r="3" spans="1:2" x14ac:dyDescent="0.3">
      <c r="A3" t="s">
        <v>32</v>
      </c>
      <c r="B3">
        <v>1824092.67</v>
      </c>
    </row>
    <row r="4" spans="1:2" x14ac:dyDescent="0.3">
      <c r="A4" t="s">
        <v>33</v>
      </c>
      <c r="B4">
        <v>1585308.03</v>
      </c>
    </row>
    <row r="5" spans="1:2" x14ac:dyDescent="0.3">
      <c r="A5" t="s">
        <v>34</v>
      </c>
      <c r="B5">
        <v>750304.02</v>
      </c>
    </row>
    <row r="6" spans="1:2" x14ac:dyDescent="0.3">
      <c r="A6" t="s">
        <v>35</v>
      </c>
      <c r="B6">
        <v>683083.76</v>
      </c>
    </row>
    <row r="7" spans="1:2" x14ac:dyDescent="0.3">
      <c r="A7" t="s">
        <v>36</v>
      </c>
      <c r="B7">
        <v>520553.34</v>
      </c>
    </row>
    <row r="8" spans="1:2" x14ac:dyDescent="0.3">
      <c r="A8" t="s">
        <v>37</v>
      </c>
      <c r="B8">
        <v>511349.99</v>
      </c>
    </row>
    <row r="9" spans="1:2" x14ac:dyDescent="0.3">
      <c r="A9" t="s">
        <v>38</v>
      </c>
      <c r="B9">
        <v>302603.94</v>
      </c>
    </row>
    <row r="10" spans="1:2" x14ac:dyDescent="0.3">
      <c r="A10" t="s">
        <v>39</v>
      </c>
      <c r="B10">
        <v>294591.95</v>
      </c>
    </row>
    <row r="11" spans="1:2" x14ac:dyDescent="0.3">
      <c r="A11" t="s">
        <v>40</v>
      </c>
      <c r="B11">
        <v>275037.31</v>
      </c>
    </row>
    <row r="12" spans="1:2" x14ac:dyDescent="0.3">
      <c r="A12" t="s">
        <v>41</v>
      </c>
      <c r="B12">
        <v>262788.03000000003</v>
      </c>
    </row>
    <row r="13" spans="1:2" x14ac:dyDescent="0.3">
      <c r="A13" t="s">
        <v>42</v>
      </c>
      <c r="B13">
        <v>227254.71</v>
      </c>
    </row>
    <row r="14" spans="1:2" x14ac:dyDescent="0.3">
      <c r="A14" t="s">
        <v>43</v>
      </c>
      <c r="B14">
        <v>178947.81</v>
      </c>
    </row>
    <row r="15" spans="1:2" x14ac:dyDescent="0.3">
      <c r="A15" t="s">
        <v>44</v>
      </c>
      <c r="B15">
        <v>156453.53</v>
      </c>
    </row>
    <row r="16" spans="1:2" x14ac:dyDescent="0.3">
      <c r="A16" t="s">
        <v>45</v>
      </c>
      <c r="B16">
        <v>119648.22</v>
      </c>
    </row>
    <row r="17" spans="1:2" x14ac:dyDescent="0.3">
      <c r="A17" t="s">
        <v>46</v>
      </c>
      <c r="B17">
        <v>116812.64</v>
      </c>
    </row>
    <row r="18" spans="1:2" x14ac:dyDescent="0.3">
      <c r="A18" t="s">
        <v>47</v>
      </c>
      <c r="B18">
        <v>115268.08</v>
      </c>
    </row>
    <row r="19" spans="1:2" x14ac:dyDescent="0.3">
      <c r="A19" t="s">
        <v>48</v>
      </c>
      <c r="B19">
        <v>86914.08</v>
      </c>
    </row>
    <row r="20" spans="1:2" x14ac:dyDescent="0.3">
      <c r="A20" t="s">
        <v>49</v>
      </c>
      <c r="B20">
        <v>83034.98</v>
      </c>
    </row>
    <row r="21" spans="1:2" x14ac:dyDescent="0.3">
      <c r="A21" t="s">
        <v>50</v>
      </c>
      <c r="B21">
        <v>80314.81</v>
      </c>
    </row>
    <row r="22" spans="1:2" x14ac:dyDescent="0.3">
      <c r="A22" t="s">
        <v>51</v>
      </c>
      <c r="B22">
        <v>58920.85</v>
      </c>
    </row>
    <row r="23" spans="1:2" x14ac:dyDescent="0.3">
      <c r="A23" t="s">
        <v>52</v>
      </c>
      <c r="B23">
        <v>49621.74</v>
      </c>
    </row>
    <row r="24" spans="1:2" x14ac:dyDescent="0.3">
      <c r="A24" t="s">
        <v>53</v>
      </c>
      <c r="B24">
        <v>46140.639999999999</v>
      </c>
    </row>
    <row r="25" spans="1:2" x14ac:dyDescent="0.3">
      <c r="A25" t="s">
        <v>54</v>
      </c>
      <c r="B25">
        <v>22356.84</v>
      </c>
    </row>
    <row r="26" spans="1:2" x14ac:dyDescent="0.3">
      <c r="A26" t="s">
        <v>55</v>
      </c>
      <c r="B26">
        <v>15982.95</v>
      </c>
    </row>
    <row r="27" spans="1:2" x14ac:dyDescent="0.3">
      <c r="A27" t="s">
        <v>56</v>
      </c>
      <c r="B27">
        <v>13474.3</v>
      </c>
    </row>
    <row r="28" spans="1:2" x14ac:dyDescent="0.3">
      <c r="A28" t="s">
        <v>57</v>
      </c>
      <c r="B28">
        <v>7829.43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DD81F-03BC-4EE2-97A2-BFEF09CB1BE2}">
  <dimension ref="A1:B11"/>
  <sheetViews>
    <sheetView workbookViewId="0">
      <selection activeCell="A12" sqref="A12"/>
    </sheetView>
  </sheetViews>
  <sheetFormatPr defaultRowHeight="14.4" x14ac:dyDescent="0.3"/>
  <cols>
    <col min="1" max="1" width="20.5546875" bestFit="1" customWidth="1"/>
    <col min="2" max="2" width="16.88671875" bestFit="1" customWidth="1"/>
  </cols>
  <sheetData>
    <row r="1" spans="1:2" x14ac:dyDescent="0.3">
      <c r="A1" t="s">
        <v>58</v>
      </c>
      <c r="B1" t="s">
        <v>59</v>
      </c>
    </row>
    <row r="2" spans="1:2" x14ac:dyDescent="0.3">
      <c r="A2" t="s">
        <v>60</v>
      </c>
      <c r="B2">
        <v>15540</v>
      </c>
    </row>
    <row r="3" spans="1:2" x14ac:dyDescent="0.3">
      <c r="A3" t="s">
        <v>61</v>
      </c>
      <c r="B3">
        <v>6882</v>
      </c>
    </row>
    <row r="4" spans="1:2" x14ac:dyDescent="0.3">
      <c r="A4" t="s">
        <v>62</v>
      </c>
      <c r="B4">
        <v>2773</v>
      </c>
    </row>
    <row r="5" spans="1:2" x14ac:dyDescent="0.3">
      <c r="A5" t="s">
        <v>63</v>
      </c>
      <c r="B5">
        <v>2131</v>
      </c>
    </row>
    <row r="6" spans="1:2" x14ac:dyDescent="0.3">
      <c r="A6" t="s">
        <v>64</v>
      </c>
      <c r="B6">
        <v>1521</v>
      </c>
    </row>
    <row r="7" spans="1:2" x14ac:dyDescent="0.3">
      <c r="A7" t="s">
        <v>65</v>
      </c>
      <c r="B7">
        <v>1444</v>
      </c>
    </row>
    <row r="8" spans="1:2" x14ac:dyDescent="0.3">
      <c r="A8" t="s">
        <v>66</v>
      </c>
      <c r="B8">
        <v>1379</v>
      </c>
    </row>
    <row r="9" spans="1:2" x14ac:dyDescent="0.3">
      <c r="A9" t="s">
        <v>67</v>
      </c>
      <c r="B9">
        <v>1245</v>
      </c>
    </row>
    <row r="10" spans="1:2" x14ac:dyDescent="0.3">
      <c r="A10" t="s">
        <v>68</v>
      </c>
      <c r="B10">
        <v>1189</v>
      </c>
    </row>
    <row r="11" spans="1:2" x14ac:dyDescent="0.3">
      <c r="A11" t="s">
        <v>69</v>
      </c>
      <c r="B11">
        <v>938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7886-FE7B-4EEC-A9A7-57806090406C}">
  <dimension ref="A1:I28"/>
  <sheetViews>
    <sheetView workbookViewId="0">
      <selection activeCell="E29" sqref="E29"/>
    </sheetView>
  </sheetViews>
  <sheetFormatPr defaultRowHeight="14.4" x14ac:dyDescent="0.3"/>
  <cols>
    <col min="1" max="1" width="20.5546875" bestFit="1" customWidth="1"/>
    <col min="2" max="2" width="20.6640625" bestFit="1" customWidth="1"/>
    <col min="4" max="4" width="12.44140625" bestFit="1" customWidth="1"/>
    <col min="5" max="5" width="18.77734375" bestFit="1" customWidth="1"/>
    <col min="7" max="7" width="12.44140625" bestFit="1" customWidth="1"/>
    <col min="8" max="8" width="17.44140625" bestFit="1" customWidth="1"/>
    <col min="9" max="9" width="18.44140625" bestFit="1" customWidth="1"/>
    <col min="10" max="10" width="12.5546875" bestFit="1" customWidth="1"/>
    <col min="11" max="11" width="19.44140625" bestFit="1" customWidth="1"/>
  </cols>
  <sheetData>
    <row r="1" spans="1:9" x14ac:dyDescent="0.3">
      <c r="A1" s="2" t="s">
        <v>2</v>
      </c>
      <c r="B1" s="2" t="s">
        <v>73</v>
      </c>
      <c r="D1" s="2" t="s">
        <v>2</v>
      </c>
      <c r="E1" s="7" t="s">
        <v>29</v>
      </c>
      <c r="G1" s="2" t="s">
        <v>2</v>
      </c>
      <c r="H1" s="7" t="s">
        <v>72</v>
      </c>
    </row>
    <row r="2" spans="1:9" x14ac:dyDescent="0.3">
      <c r="A2" s="1" t="s">
        <v>74</v>
      </c>
      <c r="B2">
        <v>1070343.23</v>
      </c>
      <c r="D2" s="1" t="s">
        <v>31</v>
      </c>
      <c r="E2" s="4">
        <v>5202955.05</v>
      </c>
      <c r="G2" s="1" t="s">
        <v>25</v>
      </c>
      <c r="H2" s="4">
        <v>3029</v>
      </c>
    </row>
    <row r="3" spans="1:9" x14ac:dyDescent="0.3">
      <c r="A3" s="1" t="s">
        <v>75</v>
      </c>
      <c r="B3">
        <v>1091481.73</v>
      </c>
      <c r="D3" s="1" t="s">
        <v>32</v>
      </c>
      <c r="E3" s="4">
        <v>1824092.67</v>
      </c>
      <c r="G3" s="1" t="s">
        <v>26</v>
      </c>
      <c r="H3" s="4">
        <v>2867</v>
      </c>
    </row>
    <row r="4" spans="1:9" x14ac:dyDescent="0.3">
      <c r="A4" s="1" t="s">
        <v>76</v>
      </c>
      <c r="B4">
        <v>1357557.74</v>
      </c>
      <c r="D4" s="1" t="s">
        <v>33</v>
      </c>
      <c r="E4" s="4">
        <v>1585308.03</v>
      </c>
      <c r="G4" s="1" t="s">
        <v>27</v>
      </c>
      <c r="H4" s="4">
        <v>2657</v>
      </c>
    </row>
    <row r="5" spans="1:9" x14ac:dyDescent="0.3">
      <c r="A5" s="1" t="s">
        <v>77</v>
      </c>
      <c r="B5">
        <v>1356574.98</v>
      </c>
      <c r="D5" s="1" t="s">
        <v>34</v>
      </c>
      <c r="E5" s="4">
        <v>750304.02</v>
      </c>
      <c r="G5" s="1" t="s">
        <v>24</v>
      </c>
      <c r="H5" s="4">
        <v>2444</v>
      </c>
    </row>
    <row r="6" spans="1:9" x14ac:dyDescent="0.3">
      <c r="A6" s="1" t="s">
        <v>78</v>
      </c>
      <c r="B6">
        <v>1502588.82</v>
      </c>
      <c r="D6" s="1" t="s">
        <v>35</v>
      </c>
      <c r="E6" s="4">
        <v>683083.76</v>
      </c>
      <c r="G6" s="1" t="s">
        <v>28</v>
      </c>
      <c r="H6" s="4">
        <v>2335</v>
      </c>
    </row>
    <row r="7" spans="1:9" x14ac:dyDescent="0.3">
      <c r="A7" s="1" t="s">
        <v>79</v>
      </c>
      <c r="B7">
        <v>1298162.9100000001</v>
      </c>
      <c r="D7" s="1" t="s">
        <v>36</v>
      </c>
      <c r="E7" s="4">
        <v>520553.34</v>
      </c>
    </row>
    <row r="8" spans="1:9" x14ac:dyDescent="0.3">
      <c r="A8" s="1" t="s">
        <v>80</v>
      </c>
      <c r="B8">
        <v>1393538.7</v>
      </c>
      <c r="D8" s="1" t="s">
        <v>37</v>
      </c>
      <c r="E8" s="4">
        <v>511349.99</v>
      </c>
    </row>
    <row r="9" spans="1:9" x14ac:dyDescent="0.3">
      <c r="A9" s="1" t="s">
        <v>81</v>
      </c>
      <c r="B9">
        <v>1428658.01</v>
      </c>
      <c r="D9" s="1" t="s">
        <v>38</v>
      </c>
      <c r="E9" s="4">
        <v>302603.94</v>
      </c>
    </row>
    <row r="10" spans="1:9" x14ac:dyDescent="0.3">
      <c r="A10" s="1" t="s">
        <v>82</v>
      </c>
      <c r="B10">
        <v>624669.04999999993</v>
      </c>
      <c r="D10" s="1" t="s">
        <v>39</v>
      </c>
      <c r="E10" s="4">
        <v>294591.95</v>
      </c>
      <c r="G10" s="2" t="s">
        <v>2</v>
      </c>
      <c r="H10" t="s">
        <v>13</v>
      </c>
      <c r="I10" t="s">
        <v>88</v>
      </c>
    </row>
    <row r="11" spans="1:9" x14ac:dyDescent="0.3">
      <c r="A11" s="1" t="s">
        <v>83</v>
      </c>
      <c r="B11">
        <v>713727.09000000008</v>
      </c>
      <c r="D11" s="1" t="s">
        <v>40</v>
      </c>
      <c r="E11" s="4">
        <v>275037.31</v>
      </c>
      <c r="G11" s="1" t="s">
        <v>5</v>
      </c>
      <c r="H11" s="5">
        <v>96478</v>
      </c>
      <c r="I11" s="10">
        <v>0.98236432135220442</v>
      </c>
    </row>
    <row r="12" spans="1:9" x14ac:dyDescent="0.3">
      <c r="A12" s="1" t="s">
        <v>84</v>
      </c>
      <c r="B12">
        <v>1010271.37</v>
      </c>
      <c r="G12" s="1" t="s">
        <v>6</v>
      </c>
      <c r="H12" s="5">
        <v>1107</v>
      </c>
      <c r="I12" s="10">
        <v>1.127176458609103E-2</v>
      </c>
    </row>
    <row r="13" spans="1:9" x14ac:dyDescent="0.3">
      <c r="A13" s="1" t="s">
        <v>85</v>
      </c>
      <c r="B13">
        <v>743925.07000000007</v>
      </c>
      <c r="G13" s="1" t="s">
        <v>7</v>
      </c>
      <c r="H13" s="5">
        <v>625</v>
      </c>
      <c r="I13" s="10">
        <v>6.3639140617045105E-3</v>
      </c>
    </row>
    <row r="14" spans="1:9" x14ac:dyDescent="0.3">
      <c r="A14" s="9" t="s">
        <v>86</v>
      </c>
      <c r="B14" s="8">
        <f>SUM(B2:B13)</f>
        <v>13591498.699999999</v>
      </c>
    </row>
    <row r="17" spans="1:9" x14ac:dyDescent="0.3">
      <c r="A17" s="2" t="s">
        <v>2</v>
      </c>
      <c r="B17" s="6" t="s">
        <v>70</v>
      </c>
    </row>
    <row r="18" spans="1:9" x14ac:dyDescent="0.3">
      <c r="A18" s="1" t="s">
        <v>69</v>
      </c>
      <c r="B18" s="5">
        <v>938</v>
      </c>
    </row>
    <row r="19" spans="1:9" x14ac:dyDescent="0.3">
      <c r="A19" s="1" t="s">
        <v>68</v>
      </c>
      <c r="B19" s="5">
        <v>1189</v>
      </c>
      <c r="G19" s="11" t="s">
        <v>86</v>
      </c>
      <c r="H19" s="12">
        <f>SUM(H11:H13)</f>
        <v>98210</v>
      </c>
      <c r="I19" s="13"/>
    </row>
    <row r="20" spans="1:9" x14ac:dyDescent="0.3">
      <c r="A20" s="1" t="s">
        <v>67</v>
      </c>
      <c r="B20" s="5">
        <v>1245</v>
      </c>
      <c r="D20" s="2" t="s">
        <v>2</v>
      </c>
      <c r="E20" s="6" t="s">
        <v>21</v>
      </c>
    </row>
    <row r="21" spans="1:9" x14ac:dyDescent="0.3">
      <c r="A21" s="1" t="s">
        <v>66</v>
      </c>
      <c r="B21" s="5">
        <v>1379</v>
      </c>
      <c r="D21" s="1" t="s">
        <v>16</v>
      </c>
      <c r="E21" s="5">
        <v>76795</v>
      </c>
    </row>
    <row r="22" spans="1:9" x14ac:dyDescent="0.3">
      <c r="A22" s="1" t="s">
        <v>65</v>
      </c>
      <c r="B22" s="5">
        <v>1444</v>
      </c>
      <c r="D22" s="1" t="s">
        <v>17</v>
      </c>
      <c r="E22" s="5">
        <v>19784</v>
      </c>
    </row>
    <row r="23" spans="1:9" x14ac:dyDescent="0.3">
      <c r="A23" s="1" t="s">
        <v>64</v>
      </c>
      <c r="B23" s="5">
        <v>1521</v>
      </c>
      <c r="D23" s="1" t="s">
        <v>18</v>
      </c>
      <c r="E23" s="5">
        <v>5775</v>
      </c>
    </row>
    <row r="24" spans="1:9" x14ac:dyDescent="0.3">
      <c r="A24" s="1" t="s">
        <v>63</v>
      </c>
      <c r="B24" s="5">
        <v>2131</v>
      </c>
      <c r="D24" s="1" t="s">
        <v>19</v>
      </c>
      <c r="E24" s="5">
        <v>1529</v>
      </c>
    </row>
    <row r="25" spans="1:9" x14ac:dyDescent="0.3">
      <c r="A25" s="1" t="s">
        <v>62</v>
      </c>
      <c r="B25" s="5">
        <v>2773</v>
      </c>
    </row>
    <row r="26" spans="1:9" x14ac:dyDescent="0.3">
      <c r="A26" s="1" t="s">
        <v>61</v>
      </c>
      <c r="B26" s="5">
        <v>6882</v>
      </c>
    </row>
    <row r="27" spans="1:9" x14ac:dyDescent="0.3">
      <c r="A27" s="1" t="s">
        <v>60</v>
      </c>
      <c r="B27" s="5">
        <v>15540</v>
      </c>
      <c r="G27" s="18" t="s">
        <v>87</v>
      </c>
      <c r="H27" s="18"/>
      <c r="I27" s="17">
        <f>B14/H19</f>
        <v>138.39220751450972</v>
      </c>
    </row>
    <row r="28" spans="1:9" x14ac:dyDescent="0.3">
      <c r="A28" s="9" t="s">
        <v>86</v>
      </c>
      <c r="B28" s="8">
        <f>SUM(B18:B27)</f>
        <v>35042</v>
      </c>
    </row>
  </sheetData>
  <mergeCells count="1">
    <mergeCell ref="G27:H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13CE-785B-4C1D-89FF-2AD73C21F66D}">
  <dimension ref="A1:Y2"/>
  <sheetViews>
    <sheetView showGridLines="0" showRowColHeaders="0" tabSelected="1" workbookViewId="0">
      <selection activeCell="AG6" sqref="AG6"/>
    </sheetView>
  </sheetViews>
  <sheetFormatPr defaultRowHeight="14.4" x14ac:dyDescent="0.3"/>
  <cols>
    <col min="1" max="16384" width="8.88671875" style="16"/>
  </cols>
  <sheetData>
    <row r="1" spans="1:25" ht="14.4" customHeight="1" x14ac:dyDescent="0.65">
      <c r="A1" s="14"/>
      <c r="B1" s="15"/>
      <c r="C1" s="15"/>
      <c r="D1" s="15"/>
      <c r="E1" s="15"/>
      <c r="F1" s="15"/>
      <c r="G1" s="15"/>
      <c r="H1" s="15"/>
      <c r="I1" s="15"/>
      <c r="J1" s="15"/>
      <c r="K1" s="15"/>
      <c r="L1" s="15"/>
      <c r="M1" s="15"/>
      <c r="N1" s="15"/>
      <c r="O1" s="15"/>
      <c r="P1" s="15"/>
      <c r="Q1" s="15"/>
      <c r="R1" s="15"/>
      <c r="S1" s="15"/>
      <c r="T1" s="15"/>
      <c r="U1" s="15"/>
      <c r="V1" s="15"/>
      <c r="W1" s="15"/>
      <c r="X1" s="15"/>
      <c r="Y1" s="15"/>
    </row>
    <row r="2" spans="1:25" x14ac:dyDescent="0.3">
      <c r="A2" s="15"/>
      <c r="B2" s="15"/>
      <c r="C2" s="15"/>
      <c r="D2" s="15"/>
      <c r="E2" s="15"/>
      <c r="F2" s="15"/>
      <c r="G2" s="15"/>
      <c r="H2" s="15"/>
      <c r="I2" s="15"/>
      <c r="J2" s="15"/>
      <c r="K2" s="15"/>
      <c r="L2" s="15"/>
      <c r="M2" s="15"/>
      <c r="N2" s="15"/>
      <c r="O2" s="15"/>
      <c r="P2" s="15"/>
      <c r="Q2" s="15"/>
      <c r="R2" s="15"/>
      <c r="S2" s="15"/>
      <c r="T2" s="15"/>
      <c r="U2" s="15"/>
      <c r="V2" s="15"/>
      <c r="W2" s="15"/>
      <c r="X2" s="15"/>
      <c r="Y2"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A4FFB7-43A6-43A4-8CE0-7522BE4AC6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monthly_revenue</vt:lpstr>
      <vt:lpstr>orders_by_status</vt:lpstr>
      <vt:lpstr>payment_distribution</vt:lpstr>
      <vt:lpstr>revenue_by_category</vt:lpstr>
      <vt:lpstr>revenue_by_state</vt:lpstr>
      <vt:lpstr>top_cities_customers</vt:lpstr>
      <vt:lpstr>pivot</vt:lpstr>
      <vt:lpstr>Dashboard_new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Jayshree</dc:creator>
  <cp:lastModifiedBy>JayShree Patidar</cp:lastModifiedBy>
  <cp:lastPrinted>2026-06-10T05:17:26Z</cp:lastPrinted>
  <dcterms:created xsi:type="dcterms:W3CDTF">2015-06-05T18:17:20Z</dcterms:created>
  <dcterms:modified xsi:type="dcterms:W3CDTF">2026-06-11T11:53:26Z</dcterms:modified>
</cp:coreProperties>
</file>